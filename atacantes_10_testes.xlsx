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b7542dbfc69411/Documentos/Projetos R/Metodos_Estatisticos/"/>
    </mc:Choice>
  </mc:AlternateContent>
  <xr:revisionPtr revIDLastSave="48" documentId="8_{D5072A9A-23B4-4FFD-984C-ABEDE0B83FBB}" xr6:coauthVersionLast="47" xr6:coauthVersionMax="47" xr10:uidLastSave="{F1350F80-70BD-4003-88E5-3D56E4515EB6}"/>
  <bookViews>
    <workbookView xWindow="28680" yWindow="-120" windowWidth="24240" windowHeight="13020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Planilha1!$B$1:$G$531</definedName>
    <definedName name="_xlnm._FilterDatabase" localSheetId="0" hidden="1">Sheet1!$A$1:$AB$1140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F6" i="2"/>
  <c r="F7" i="2"/>
  <c r="F8" i="2"/>
  <c r="F12" i="2"/>
  <c r="F13" i="2"/>
  <c r="F14" i="2"/>
  <c r="F18" i="2"/>
  <c r="F19" i="2"/>
  <c r="F20" i="2"/>
  <c r="F24" i="2"/>
  <c r="F25" i="2"/>
  <c r="F26" i="2"/>
  <c r="F30" i="2"/>
  <c r="F31" i="2"/>
  <c r="F32" i="2"/>
  <c r="F36" i="2"/>
  <c r="F37" i="2"/>
  <c r="F38" i="2"/>
  <c r="F42" i="2"/>
  <c r="F43" i="2"/>
  <c r="F44" i="2"/>
  <c r="F48" i="2"/>
  <c r="F49" i="2"/>
  <c r="F50" i="2"/>
  <c r="F54" i="2"/>
  <c r="F55" i="2"/>
  <c r="F56" i="2"/>
  <c r="F60" i="2"/>
  <c r="F61" i="2"/>
  <c r="F62" i="2"/>
  <c r="F66" i="2"/>
  <c r="F67" i="2"/>
  <c r="F68" i="2"/>
  <c r="F72" i="2"/>
  <c r="F73" i="2"/>
  <c r="F74" i="2"/>
  <c r="F78" i="2"/>
  <c r="F79" i="2"/>
  <c r="F80" i="2"/>
  <c r="F84" i="2"/>
  <c r="F85" i="2"/>
  <c r="F86" i="2"/>
  <c r="F90" i="2"/>
  <c r="F91" i="2"/>
  <c r="F92" i="2"/>
  <c r="F96" i="2"/>
  <c r="F97" i="2"/>
  <c r="F98" i="2"/>
  <c r="F102" i="2"/>
  <c r="F103" i="2"/>
  <c r="F104" i="2"/>
  <c r="F108" i="2"/>
  <c r="F109" i="2"/>
  <c r="F110" i="2"/>
  <c r="F114" i="2"/>
  <c r="F115" i="2"/>
  <c r="F116" i="2"/>
  <c r="F120" i="2"/>
  <c r="F121" i="2"/>
  <c r="F122" i="2"/>
  <c r="F126" i="2"/>
  <c r="F127" i="2"/>
  <c r="F128" i="2"/>
  <c r="F132" i="2"/>
  <c r="F133" i="2"/>
  <c r="F134" i="2"/>
  <c r="F138" i="2"/>
  <c r="F139" i="2"/>
  <c r="F140" i="2"/>
  <c r="F144" i="2"/>
  <c r="F145" i="2"/>
  <c r="F146" i="2"/>
  <c r="E150" i="2"/>
  <c r="F150" i="2"/>
  <c r="F151" i="2"/>
  <c r="F152" i="2"/>
  <c r="E156" i="2"/>
  <c r="F156" i="2"/>
  <c r="F157" i="2"/>
  <c r="F158" i="2"/>
  <c r="E162" i="2"/>
  <c r="F162" i="2"/>
  <c r="F163" i="2"/>
  <c r="F164" i="2"/>
  <c r="E168" i="2"/>
  <c r="F168" i="2"/>
  <c r="F169" i="2"/>
  <c r="F170" i="2"/>
  <c r="E174" i="2"/>
  <c r="F174" i="2"/>
  <c r="F175" i="2"/>
  <c r="F176" i="2"/>
  <c r="E180" i="2"/>
  <c r="F180" i="2"/>
  <c r="F181" i="2"/>
  <c r="F182" i="2"/>
  <c r="E186" i="2"/>
  <c r="F186" i="2"/>
  <c r="F187" i="2"/>
  <c r="F188" i="2"/>
  <c r="E192" i="2"/>
  <c r="F192" i="2"/>
  <c r="F193" i="2"/>
  <c r="F194" i="2"/>
  <c r="E198" i="2"/>
  <c r="F198" i="2"/>
  <c r="F199" i="2"/>
  <c r="F200" i="2"/>
  <c r="E204" i="2"/>
  <c r="F204" i="2"/>
  <c r="F205" i="2"/>
  <c r="F206" i="2"/>
  <c r="E210" i="2"/>
  <c r="F210" i="2"/>
  <c r="F211" i="2"/>
  <c r="F212" i="2"/>
  <c r="E216" i="2"/>
  <c r="F216" i="2"/>
  <c r="F217" i="2"/>
  <c r="F218" i="2"/>
  <c r="E222" i="2"/>
  <c r="F222" i="2"/>
  <c r="F223" i="2"/>
  <c r="F224" i="2"/>
  <c r="E228" i="2"/>
  <c r="F228" i="2"/>
  <c r="F229" i="2"/>
  <c r="F230" i="2"/>
  <c r="E234" i="2"/>
  <c r="F234" i="2"/>
  <c r="F235" i="2"/>
  <c r="F236" i="2"/>
  <c r="E240" i="2"/>
  <c r="F240" i="2"/>
  <c r="F241" i="2"/>
  <c r="F242" i="2"/>
  <c r="E246" i="2"/>
  <c r="F246" i="2"/>
  <c r="F247" i="2"/>
  <c r="F248" i="2"/>
  <c r="E252" i="2"/>
  <c r="F252" i="2"/>
  <c r="F253" i="2"/>
  <c r="F254" i="2"/>
  <c r="E258" i="2"/>
  <c r="F258" i="2"/>
  <c r="F259" i="2"/>
  <c r="F260" i="2"/>
  <c r="E264" i="2"/>
  <c r="F264" i="2"/>
  <c r="F265" i="2"/>
  <c r="F266" i="2"/>
  <c r="E270" i="2"/>
  <c r="F270" i="2"/>
  <c r="F271" i="2"/>
  <c r="F272" i="2"/>
  <c r="E276" i="2"/>
  <c r="F276" i="2"/>
  <c r="F277" i="2"/>
  <c r="F278" i="2"/>
  <c r="E282" i="2"/>
  <c r="F282" i="2"/>
  <c r="F283" i="2"/>
  <c r="F284" i="2"/>
  <c r="E288" i="2"/>
  <c r="F288" i="2"/>
  <c r="F289" i="2"/>
  <c r="F290" i="2"/>
  <c r="E294" i="2"/>
  <c r="F294" i="2"/>
  <c r="F295" i="2"/>
  <c r="F296" i="2"/>
  <c r="E300" i="2"/>
  <c r="F300" i="2"/>
  <c r="F301" i="2"/>
  <c r="F302" i="2"/>
  <c r="E306" i="2"/>
  <c r="F306" i="2"/>
  <c r="F307" i="2"/>
  <c r="F308" i="2"/>
  <c r="E312" i="2"/>
  <c r="F312" i="2"/>
  <c r="F313" i="2"/>
  <c r="F314" i="2"/>
  <c r="E318" i="2"/>
  <c r="F318" i="2"/>
  <c r="E319" i="2"/>
  <c r="F319" i="2"/>
  <c r="F320" i="2"/>
  <c r="E324" i="2"/>
  <c r="F324" i="2"/>
  <c r="E325" i="2"/>
  <c r="F325" i="2"/>
  <c r="F326" i="2"/>
  <c r="E330" i="2"/>
  <c r="F330" i="2"/>
  <c r="E331" i="2"/>
  <c r="F331" i="2"/>
  <c r="F332" i="2"/>
  <c r="E336" i="2"/>
  <c r="F336" i="2"/>
  <c r="E337" i="2"/>
  <c r="F337" i="2"/>
  <c r="F338" i="2"/>
  <c r="E342" i="2"/>
  <c r="F342" i="2"/>
  <c r="E343" i="2"/>
  <c r="F343" i="2"/>
  <c r="F344" i="2"/>
  <c r="E348" i="2"/>
  <c r="F348" i="2"/>
  <c r="E349" i="2"/>
  <c r="F349" i="2"/>
  <c r="F350" i="2"/>
  <c r="E354" i="2"/>
  <c r="F354" i="2"/>
  <c r="E355" i="2"/>
  <c r="F355" i="2"/>
  <c r="F356" i="2"/>
  <c r="E360" i="2"/>
  <c r="F360" i="2"/>
  <c r="E361" i="2"/>
  <c r="F361" i="2"/>
  <c r="F362" i="2"/>
  <c r="E366" i="2"/>
  <c r="F366" i="2"/>
  <c r="E367" i="2"/>
  <c r="F367" i="2"/>
  <c r="F368" i="2"/>
  <c r="E372" i="2"/>
  <c r="F372" i="2"/>
  <c r="E373" i="2"/>
  <c r="F373" i="2"/>
  <c r="F374" i="2"/>
  <c r="E377" i="2"/>
  <c r="E378" i="2"/>
  <c r="F378" i="2"/>
  <c r="E379" i="2"/>
  <c r="F379" i="2"/>
  <c r="F380" i="2"/>
  <c r="E383" i="2"/>
  <c r="E384" i="2"/>
  <c r="F384" i="2"/>
  <c r="E385" i="2"/>
  <c r="F385" i="2"/>
  <c r="F386" i="2"/>
  <c r="E389" i="2"/>
  <c r="E390" i="2"/>
  <c r="F390" i="2"/>
  <c r="E391" i="2"/>
  <c r="F391" i="2"/>
  <c r="F392" i="2"/>
  <c r="E395" i="2"/>
  <c r="E396" i="2"/>
  <c r="F396" i="2"/>
  <c r="E397" i="2"/>
  <c r="F397" i="2"/>
  <c r="F398" i="2"/>
  <c r="E401" i="2"/>
  <c r="E402" i="2"/>
  <c r="F402" i="2"/>
  <c r="E403" i="2"/>
  <c r="F403" i="2"/>
  <c r="F404" i="2"/>
  <c r="E407" i="2"/>
  <c r="E408" i="2"/>
  <c r="F408" i="2"/>
  <c r="E409" i="2"/>
  <c r="F409" i="2"/>
  <c r="F410" i="2"/>
  <c r="E413" i="2"/>
  <c r="E414" i="2"/>
  <c r="F414" i="2"/>
  <c r="E415" i="2"/>
  <c r="F415" i="2"/>
  <c r="F416" i="2"/>
  <c r="E419" i="2"/>
  <c r="E420" i="2"/>
  <c r="F420" i="2"/>
  <c r="E421" i="2"/>
  <c r="F421" i="2"/>
  <c r="F422" i="2"/>
  <c r="E425" i="2"/>
  <c r="E426" i="2"/>
  <c r="F426" i="2"/>
  <c r="E427" i="2"/>
  <c r="F427" i="2"/>
  <c r="F428" i="2"/>
  <c r="E431" i="2"/>
  <c r="E432" i="2"/>
  <c r="F432" i="2"/>
  <c r="E433" i="2"/>
  <c r="F433" i="2"/>
  <c r="F434" i="2"/>
  <c r="E437" i="2"/>
  <c r="E438" i="2"/>
  <c r="F438" i="2"/>
  <c r="E439" i="2"/>
  <c r="F439" i="2"/>
  <c r="F440" i="2"/>
  <c r="E443" i="2"/>
  <c r="E444" i="2"/>
  <c r="F444" i="2"/>
  <c r="E445" i="2"/>
  <c r="F445" i="2"/>
  <c r="F446" i="2"/>
  <c r="F447" i="2"/>
  <c r="E449" i="2"/>
  <c r="E450" i="2"/>
  <c r="F450" i="2"/>
  <c r="E451" i="2"/>
  <c r="F451" i="2"/>
  <c r="F452" i="2"/>
  <c r="F453" i="2"/>
  <c r="E455" i="2"/>
  <c r="E456" i="2"/>
  <c r="F456" i="2"/>
  <c r="E457" i="2"/>
  <c r="F457" i="2"/>
  <c r="F458" i="2"/>
  <c r="F459" i="2"/>
  <c r="E461" i="2"/>
  <c r="E462" i="2"/>
  <c r="F462" i="2"/>
  <c r="E463" i="2"/>
  <c r="F463" i="2"/>
  <c r="F464" i="2"/>
  <c r="F465" i="2"/>
  <c r="E467" i="2"/>
  <c r="E468" i="2"/>
  <c r="F468" i="2"/>
  <c r="E469" i="2"/>
  <c r="F469" i="2"/>
  <c r="F470" i="2"/>
  <c r="F471" i="2"/>
  <c r="E473" i="2"/>
  <c r="E474" i="2"/>
  <c r="F474" i="2"/>
  <c r="E475" i="2"/>
  <c r="F475" i="2"/>
  <c r="F476" i="2"/>
  <c r="F477" i="2"/>
  <c r="E479" i="2"/>
  <c r="E480" i="2"/>
  <c r="F480" i="2"/>
  <c r="E481" i="2"/>
  <c r="F481" i="2"/>
  <c r="F482" i="2"/>
  <c r="F483" i="2"/>
  <c r="E485" i="2"/>
  <c r="E486" i="2"/>
  <c r="F486" i="2"/>
  <c r="E487" i="2"/>
  <c r="F487" i="2"/>
  <c r="F488" i="2"/>
  <c r="F489" i="2"/>
  <c r="E491" i="2"/>
  <c r="E492" i="2"/>
  <c r="F492" i="2"/>
  <c r="E493" i="2"/>
  <c r="F493" i="2"/>
  <c r="F494" i="2"/>
  <c r="F495" i="2"/>
  <c r="F496" i="2"/>
  <c r="E497" i="2"/>
  <c r="F497" i="2"/>
  <c r="E498" i="2"/>
  <c r="F498" i="2"/>
  <c r="E499" i="2"/>
  <c r="F499" i="2"/>
  <c r="F500" i="2"/>
  <c r="F501" i="2"/>
  <c r="F502" i="2"/>
  <c r="E503" i="2"/>
  <c r="F503" i="2"/>
  <c r="E504" i="2"/>
  <c r="F504" i="2"/>
  <c r="E505" i="2"/>
  <c r="F505" i="2"/>
  <c r="F506" i="2"/>
  <c r="F507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F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2" i="2"/>
  <c r="E313" i="2" l="1"/>
  <c r="E307" i="2"/>
  <c r="E301" i="2"/>
  <c r="E295" i="2"/>
  <c r="E289" i="2"/>
  <c r="E283" i="2"/>
  <c r="E277" i="2"/>
  <c r="E271" i="2"/>
  <c r="E265" i="2"/>
  <c r="E259" i="2"/>
  <c r="E253" i="2"/>
  <c r="E247" i="2"/>
  <c r="E241" i="2"/>
  <c r="E235" i="2"/>
  <c r="E229" i="2"/>
  <c r="E223" i="2"/>
  <c r="E217" i="2"/>
  <c r="E211" i="2"/>
  <c r="E205" i="2"/>
  <c r="E199" i="2"/>
  <c r="E193" i="2"/>
  <c r="E187" i="2"/>
  <c r="E181" i="2"/>
  <c r="E175" i="2"/>
  <c r="E169" i="2"/>
  <c r="E163" i="2"/>
  <c r="E157" i="2"/>
  <c r="E151" i="2"/>
  <c r="E145" i="2"/>
  <c r="E139" i="2"/>
  <c r="E133" i="2"/>
  <c r="E127" i="2"/>
  <c r="E121" i="2"/>
  <c r="E115" i="2"/>
  <c r="E109" i="2"/>
  <c r="E103" i="2"/>
  <c r="E97" i="2"/>
  <c r="E91" i="2"/>
  <c r="E85" i="2"/>
  <c r="E79" i="2"/>
  <c r="E73" i="2"/>
  <c r="E67" i="2"/>
  <c r="E61" i="2"/>
  <c r="E55" i="2"/>
  <c r="E49" i="2"/>
  <c r="E43" i="2"/>
  <c r="E37" i="2"/>
  <c r="E31" i="2"/>
  <c r="E25" i="2"/>
  <c r="E19" i="2"/>
  <c r="E13" i="2"/>
  <c r="E7" i="2"/>
  <c r="E144" i="2"/>
  <c r="E138" i="2"/>
  <c r="E132" i="2"/>
  <c r="E126" i="2"/>
  <c r="E120" i="2"/>
  <c r="E114" i="2"/>
  <c r="E108" i="2"/>
  <c r="E102" i="2"/>
  <c r="E96" i="2"/>
  <c r="E90" i="2"/>
  <c r="E84" i="2"/>
  <c r="E78" i="2"/>
  <c r="E72" i="2"/>
  <c r="E66" i="2"/>
  <c r="E60" i="2"/>
  <c r="E54" i="2"/>
  <c r="E48" i="2"/>
  <c r="E42" i="2"/>
  <c r="E36" i="2"/>
  <c r="E30" i="2"/>
  <c r="E24" i="2"/>
  <c r="E18" i="2"/>
  <c r="E12" i="2"/>
  <c r="E6" i="2"/>
  <c r="F491" i="2"/>
  <c r="F485" i="2"/>
  <c r="F479" i="2"/>
  <c r="F473" i="2"/>
  <c r="F467" i="2"/>
  <c r="F461" i="2"/>
  <c r="F455" i="2"/>
  <c r="F449" i="2"/>
  <c r="F443" i="2"/>
  <c r="F437" i="2"/>
  <c r="F431" i="2"/>
  <c r="F425" i="2"/>
  <c r="F419" i="2"/>
  <c r="F413" i="2"/>
  <c r="F407" i="2"/>
  <c r="F401" i="2"/>
  <c r="F395" i="2"/>
  <c r="F389" i="2"/>
  <c r="F383" i="2"/>
  <c r="F377" i="2"/>
  <c r="F371" i="2"/>
  <c r="F365" i="2"/>
  <c r="F359" i="2"/>
  <c r="F353" i="2"/>
  <c r="F347" i="2"/>
  <c r="F341" i="2"/>
  <c r="F335" i="2"/>
  <c r="F329" i="2"/>
  <c r="F323" i="2"/>
  <c r="F317" i="2"/>
  <c r="F311" i="2"/>
  <c r="F305" i="2"/>
  <c r="F299" i="2"/>
  <c r="F293" i="2"/>
  <c r="F287" i="2"/>
  <c r="F281" i="2"/>
  <c r="F275" i="2"/>
  <c r="F269" i="2"/>
  <c r="F263" i="2"/>
  <c r="F257" i="2"/>
  <c r="F251" i="2"/>
  <c r="F245" i="2"/>
  <c r="F239" i="2"/>
  <c r="F233" i="2"/>
  <c r="F227" i="2"/>
  <c r="F221" i="2"/>
  <c r="F215" i="2"/>
  <c r="F209" i="2"/>
  <c r="F203" i="2"/>
  <c r="F197" i="2"/>
  <c r="F191" i="2"/>
  <c r="F185" i="2"/>
  <c r="F179" i="2"/>
  <c r="F173" i="2"/>
  <c r="F167" i="2"/>
  <c r="F161" i="2"/>
  <c r="F155" i="2"/>
  <c r="F149" i="2"/>
  <c r="F143" i="2"/>
  <c r="F137" i="2"/>
  <c r="F131" i="2"/>
  <c r="F125" i="2"/>
  <c r="F119" i="2"/>
  <c r="F113" i="2"/>
  <c r="F107" i="2"/>
  <c r="F101" i="2"/>
  <c r="F95" i="2"/>
  <c r="F89" i="2"/>
  <c r="F83" i="2"/>
  <c r="F77" i="2"/>
  <c r="F71" i="2"/>
  <c r="F65" i="2"/>
  <c r="F59" i="2"/>
  <c r="F53" i="2"/>
  <c r="F47" i="2"/>
  <c r="F41" i="2"/>
  <c r="F35" i="2"/>
  <c r="F29" i="2"/>
  <c r="F23" i="2"/>
  <c r="F17" i="2"/>
  <c r="F11" i="2"/>
  <c r="F5" i="2"/>
  <c r="E371" i="2"/>
  <c r="E365" i="2"/>
  <c r="E359" i="2"/>
  <c r="E353" i="2"/>
  <c r="E347" i="2"/>
  <c r="E341" i="2"/>
  <c r="E335" i="2"/>
  <c r="E329" i="2"/>
  <c r="E323" i="2"/>
  <c r="E317" i="2"/>
  <c r="E311" i="2"/>
  <c r="E305" i="2"/>
  <c r="E299" i="2"/>
  <c r="E293" i="2"/>
  <c r="E287" i="2"/>
  <c r="E281" i="2"/>
  <c r="E275" i="2"/>
  <c r="E269" i="2"/>
  <c r="E263" i="2"/>
  <c r="E257" i="2"/>
  <c r="E251" i="2"/>
  <c r="E245" i="2"/>
  <c r="E239" i="2"/>
  <c r="E233" i="2"/>
  <c r="E227" i="2"/>
  <c r="E221" i="2"/>
  <c r="E215" i="2"/>
  <c r="E209" i="2"/>
  <c r="E203" i="2"/>
  <c r="E197" i="2"/>
  <c r="E191" i="2"/>
  <c r="E185" i="2"/>
  <c r="E179" i="2"/>
  <c r="E173" i="2"/>
  <c r="E167" i="2"/>
  <c r="E161" i="2"/>
  <c r="E155" i="2"/>
  <c r="E149" i="2"/>
  <c r="E143" i="2"/>
  <c r="E137" i="2"/>
  <c r="E131" i="2"/>
  <c r="E125" i="2"/>
  <c r="E119" i="2"/>
  <c r="E113" i="2"/>
  <c r="E107" i="2"/>
  <c r="E101" i="2"/>
  <c r="E95" i="2"/>
  <c r="E89" i="2"/>
  <c r="E83" i="2"/>
  <c r="E77" i="2"/>
  <c r="E71" i="2"/>
  <c r="E65" i="2"/>
  <c r="E59" i="2"/>
  <c r="E53" i="2"/>
  <c r="E47" i="2"/>
  <c r="E41" i="2"/>
  <c r="E35" i="2"/>
  <c r="E29" i="2"/>
  <c r="E23" i="2"/>
  <c r="E17" i="2"/>
  <c r="E11" i="2"/>
  <c r="E5" i="2"/>
  <c r="F490" i="2"/>
  <c r="F484" i="2"/>
  <c r="F478" i="2"/>
  <c r="F472" i="2"/>
  <c r="F466" i="2"/>
  <c r="F460" i="2"/>
  <c r="F454" i="2"/>
  <c r="F448" i="2"/>
  <c r="F442" i="2"/>
  <c r="F436" i="2"/>
  <c r="F430" i="2"/>
  <c r="F424" i="2"/>
  <c r="F418" i="2"/>
  <c r="F412" i="2"/>
  <c r="F406" i="2"/>
  <c r="F400" i="2"/>
  <c r="F394" i="2"/>
  <c r="F388" i="2"/>
  <c r="F382" i="2"/>
  <c r="F376" i="2"/>
  <c r="F370" i="2"/>
  <c r="F364" i="2"/>
  <c r="F358" i="2"/>
  <c r="F352" i="2"/>
  <c r="F346" i="2"/>
  <c r="F340" i="2"/>
  <c r="F334" i="2"/>
  <c r="F328" i="2"/>
  <c r="F322" i="2"/>
  <c r="F316" i="2"/>
  <c r="F310" i="2"/>
  <c r="F304" i="2"/>
  <c r="F298" i="2"/>
  <c r="F292" i="2"/>
  <c r="F286" i="2"/>
  <c r="F280" i="2"/>
  <c r="F274" i="2"/>
  <c r="F268" i="2"/>
  <c r="F262" i="2"/>
  <c r="F256" i="2"/>
  <c r="F250" i="2"/>
  <c r="F244" i="2"/>
  <c r="F238" i="2"/>
  <c r="F232" i="2"/>
  <c r="F226" i="2"/>
  <c r="F220" i="2"/>
  <c r="F214" i="2"/>
  <c r="F208" i="2"/>
  <c r="F202" i="2"/>
  <c r="F196" i="2"/>
  <c r="F190" i="2"/>
  <c r="F184" i="2"/>
  <c r="F178" i="2"/>
  <c r="F172" i="2"/>
  <c r="F166" i="2"/>
  <c r="F160" i="2"/>
  <c r="F154" i="2"/>
  <c r="F148" i="2"/>
  <c r="F142" i="2"/>
  <c r="F136" i="2"/>
  <c r="F130" i="2"/>
  <c r="F124" i="2"/>
  <c r="F118" i="2"/>
  <c r="F112" i="2"/>
  <c r="F106" i="2"/>
  <c r="F100" i="2"/>
  <c r="F94" i="2"/>
  <c r="F88" i="2"/>
  <c r="F82" i="2"/>
  <c r="F76" i="2"/>
  <c r="F70" i="2"/>
  <c r="F64" i="2"/>
  <c r="F58" i="2"/>
  <c r="F52" i="2"/>
  <c r="F46" i="2"/>
  <c r="F40" i="2"/>
  <c r="F34" i="2"/>
  <c r="F28" i="2"/>
  <c r="F22" i="2"/>
  <c r="F16" i="2"/>
  <c r="F10" i="2"/>
  <c r="F4" i="2"/>
  <c r="E508" i="2"/>
  <c r="E502" i="2"/>
  <c r="E496" i="2"/>
  <c r="E490" i="2"/>
  <c r="E484" i="2"/>
  <c r="E478" i="2"/>
  <c r="E472" i="2"/>
  <c r="E466" i="2"/>
  <c r="E460" i="2"/>
  <c r="E454" i="2"/>
  <c r="E448" i="2"/>
  <c r="E442" i="2"/>
  <c r="E436" i="2"/>
  <c r="E430" i="2"/>
  <c r="E424" i="2"/>
  <c r="E418" i="2"/>
  <c r="E412" i="2"/>
  <c r="E406" i="2"/>
  <c r="E400" i="2"/>
  <c r="E394" i="2"/>
  <c r="E388" i="2"/>
  <c r="E382" i="2"/>
  <c r="E376" i="2"/>
  <c r="E370" i="2"/>
  <c r="E364" i="2"/>
  <c r="E358" i="2"/>
  <c r="E352" i="2"/>
  <c r="E346" i="2"/>
  <c r="E340" i="2"/>
  <c r="E334" i="2"/>
  <c r="E328" i="2"/>
  <c r="E322" i="2"/>
  <c r="E316" i="2"/>
  <c r="E310" i="2"/>
  <c r="E304" i="2"/>
  <c r="E298" i="2"/>
  <c r="E292" i="2"/>
  <c r="E286" i="2"/>
  <c r="E280" i="2"/>
  <c r="E274" i="2"/>
  <c r="E268" i="2"/>
  <c r="E262" i="2"/>
  <c r="E256" i="2"/>
  <c r="E250" i="2"/>
  <c r="E244" i="2"/>
  <c r="E238" i="2"/>
  <c r="E232" i="2"/>
  <c r="E226" i="2"/>
  <c r="E220" i="2"/>
  <c r="E214" i="2"/>
  <c r="E208" i="2"/>
  <c r="E202" i="2"/>
  <c r="E196" i="2"/>
  <c r="E190" i="2"/>
  <c r="G190" i="2" s="1"/>
  <c r="E184" i="2"/>
  <c r="E178" i="2"/>
  <c r="E172" i="2"/>
  <c r="E166" i="2"/>
  <c r="E160" i="2"/>
  <c r="E154" i="2"/>
  <c r="E148" i="2"/>
  <c r="E142" i="2"/>
  <c r="E136" i="2"/>
  <c r="E130" i="2"/>
  <c r="E124" i="2"/>
  <c r="E118" i="2"/>
  <c r="E112" i="2"/>
  <c r="E106" i="2"/>
  <c r="E100" i="2"/>
  <c r="E94" i="2"/>
  <c r="E88" i="2"/>
  <c r="E82" i="2"/>
  <c r="E76" i="2"/>
  <c r="E70" i="2"/>
  <c r="E64" i="2"/>
  <c r="E58" i="2"/>
  <c r="E52" i="2"/>
  <c r="E46" i="2"/>
  <c r="E40" i="2"/>
  <c r="H40" i="2" s="1"/>
  <c r="E34" i="2"/>
  <c r="E28" i="2"/>
  <c r="H28" i="2" s="1"/>
  <c r="E22" i="2"/>
  <c r="E16" i="2"/>
  <c r="H16" i="2" s="1"/>
  <c r="E10" i="2"/>
  <c r="E4" i="2"/>
  <c r="F441" i="2"/>
  <c r="F435" i="2"/>
  <c r="F429" i="2"/>
  <c r="F423" i="2"/>
  <c r="F417" i="2"/>
  <c r="F411" i="2"/>
  <c r="F405" i="2"/>
  <c r="F399" i="2"/>
  <c r="F393" i="2"/>
  <c r="F387" i="2"/>
  <c r="F381" i="2"/>
  <c r="F375" i="2"/>
  <c r="F369" i="2"/>
  <c r="F363" i="2"/>
  <c r="F357" i="2"/>
  <c r="F351" i="2"/>
  <c r="F345" i="2"/>
  <c r="F339" i="2"/>
  <c r="F333" i="2"/>
  <c r="F327" i="2"/>
  <c r="F321" i="2"/>
  <c r="F315" i="2"/>
  <c r="F309" i="2"/>
  <c r="F303" i="2"/>
  <c r="F297" i="2"/>
  <c r="F291" i="2"/>
  <c r="F285" i="2"/>
  <c r="F279" i="2"/>
  <c r="F273" i="2"/>
  <c r="F267" i="2"/>
  <c r="F261" i="2"/>
  <c r="F255" i="2"/>
  <c r="F249" i="2"/>
  <c r="F243" i="2"/>
  <c r="F237" i="2"/>
  <c r="F231" i="2"/>
  <c r="F225" i="2"/>
  <c r="F219" i="2"/>
  <c r="F213" i="2"/>
  <c r="F207" i="2"/>
  <c r="F201" i="2"/>
  <c r="F195" i="2"/>
  <c r="F189" i="2"/>
  <c r="F183" i="2"/>
  <c r="F177" i="2"/>
  <c r="F171" i="2"/>
  <c r="F165" i="2"/>
  <c r="F159" i="2"/>
  <c r="F153" i="2"/>
  <c r="F147" i="2"/>
  <c r="F141" i="2"/>
  <c r="F135" i="2"/>
  <c r="F129" i="2"/>
  <c r="F123" i="2"/>
  <c r="F117" i="2"/>
  <c r="F111" i="2"/>
  <c r="F105" i="2"/>
  <c r="F99" i="2"/>
  <c r="F93" i="2"/>
  <c r="F87" i="2"/>
  <c r="F81" i="2"/>
  <c r="F75" i="2"/>
  <c r="F69" i="2"/>
  <c r="F63" i="2"/>
  <c r="F57" i="2"/>
  <c r="F51" i="2"/>
  <c r="F45" i="2"/>
  <c r="F39" i="2"/>
  <c r="F33" i="2"/>
  <c r="F27" i="2"/>
  <c r="F21" i="2"/>
  <c r="F15" i="2"/>
  <c r="F9" i="2"/>
  <c r="F3" i="2"/>
  <c r="E507" i="2"/>
  <c r="E501" i="2"/>
  <c r="E495" i="2"/>
  <c r="E489" i="2"/>
  <c r="E483" i="2"/>
  <c r="E477" i="2"/>
  <c r="E471" i="2"/>
  <c r="E465" i="2"/>
  <c r="E459" i="2"/>
  <c r="E453" i="2"/>
  <c r="E447" i="2"/>
  <c r="E441" i="2"/>
  <c r="E435" i="2"/>
  <c r="E429" i="2"/>
  <c r="E423" i="2"/>
  <c r="E417" i="2"/>
  <c r="E411" i="2"/>
  <c r="E405" i="2"/>
  <c r="E399" i="2"/>
  <c r="E393" i="2"/>
  <c r="E387" i="2"/>
  <c r="E381" i="2"/>
  <c r="E375" i="2"/>
  <c r="E369" i="2"/>
  <c r="E363" i="2"/>
  <c r="E357" i="2"/>
  <c r="E351" i="2"/>
  <c r="E345" i="2"/>
  <c r="E339" i="2"/>
  <c r="E333" i="2"/>
  <c r="E327" i="2"/>
  <c r="E321" i="2"/>
  <c r="E315" i="2"/>
  <c r="E309" i="2"/>
  <c r="E303" i="2"/>
  <c r="E297" i="2"/>
  <c r="E291" i="2"/>
  <c r="E285" i="2"/>
  <c r="E279" i="2"/>
  <c r="E273" i="2"/>
  <c r="E267" i="2"/>
  <c r="E261" i="2"/>
  <c r="E255" i="2"/>
  <c r="E249" i="2"/>
  <c r="E243" i="2"/>
  <c r="E237" i="2"/>
  <c r="E231" i="2"/>
  <c r="E225" i="2"/>
  <c r="E219" i="2"/>
  <c r="E213" i="2"/>
  <c r="E207" i="2"/>
  <c r="E201" i="2"/>
  <c r="E195" i="2"/>
  <c r="E189" i="2"/>
  <c r="E183" i="2"/>
  <c r="E177" i="2"/>
  <c r="E171" i="2"/>
  <c r="E165" i="2"/>
  <c r="E159" i="2"/>
  <c r="E153" i="2"/>
  <c r="E147" i="2"/>
  <c r="E141" i="2"/>
  <c r="E135" i="2"/>
  <c r="E129" i="2"/>
  <c r="E123" i="2"/>
  <c r="E117" i="2"/>
  <c r="E111" i="2"/>
  <c r="E105" i="2"/>
  <c r="E99" i="2"/>
  <c r="E93" i="2"/>
  <c r="E87" i="2"/>
  <c r="E81" i="2"/>
  <c r="E75" i="2"/>
  <c r="E69" i="2"/>
  <c r="E63" i="2"/>
  <c r="E57" i="2"/>
  <c r="E51" i="2"/>
  <c r="E45" i="2"/>
  <c r="E39" i="2"/>
  <c r="E33" i="2"/>
  <c r="E27" i="2"/>
  <c r="E21" i="2"/>
  <c r="E15" i="2"/>
  <c r="E9" i="2"/>
  <c r="E3" i="2"/>
  <c r="G3" i="2" s="1"/>
  <c r="E506" i="2"/>
  <c r="E500" i="2"/>
  <c r="E494" i="2"/>
  <c r="E488" i="2"/>
  <c r="E482" i="2"/>
  <c r="E476" i="2"/>
  <c r="E470" i="2"/>
  <c r="E464" i="2"/>
  <c r="E458" i="2"/>
  <c r="E452" i="2"/>
  <c r="E446" i="2"/>
  <c r="E440" i="2"/>
  <c r="E434" i="2"/>
  <c r="E428" i="2"/>
  <c r="E422" i="2"/>
  <c r="E416" i="2"/>
  <c r="E410" i="2"/>
  <c r="E404" i="2"/>
  <c r="E398" i="2"/>
  <c r="E392" i="2"/>
  <c r="E386" i="2"/>
  <c r="E380" i="2"/>
  <c r="E374" i="2"/>
  <c r="E368" i="2"/>
  <c r="E362" i="2"/>
  <c r="E356" i="2"/>
  <c r="E350" i="2"/>
  <c r="E344" i="2"/>
  <c r="E338" i="2"/>
  <c r="E332" i="2"/>
  <c r="E326" i="2"/>
  <c r="E320" i="2"/>
  <c r="E314" i="2"/>
  <c r="E308" i="2"/>
  <c r="E302" i="2"/>
  <c r="E296" i="2"/>
  <c r="E290" i="2"/>
  <c r="E284" i="2"/>
  <c r="E278" i="2"/>
  <c r="E272" i="2"/>
  <c r="E266" i="2"/>
  <c r="E260" i="2"/>
  <c r="E254" i="2"/>
  <c r="E248" i="2"/>
  <c r="E242" i="2"/>
  <c r="E236" i="2"/>
  <c r="E230" i="2"/>
  <c r="E224" i="2"/>
  <c r="E218" i="2"/>
  <c r="E212" i="2"/>
  <c r="E206" i="2"/>
  <c r="E200" i="2"/>
  <c r="E194" i="2"/>
  <c r="E188" i="2"/>
  <c r="E182" i="2"/>
  <c r="E176" i="2"/>
  <c r="E170" i="2"/>
  <c r="E164" i="2"/>
  <c r="E158" i="2"/>
  <c r="E152" i="2"/>
  <c r="E146" i="2"/>
  <c r="E140" i="2"/>
  <c r="E134" i="2"/>
  <c r="E128" i="2"/>
  <c r="E122" i="2"/>
  <c r="E116" i="2"/>
  <c r="E110" i="2"/>
  <c r="E104" i="2"/>
  <c r="E98" i="2"/>
  <c r="E92" i="2"/>
  <c r="E86" i="2"/>
  <c r="E80" i="2"/>
  <c r="E74" i="2"/>
  <c r="E68" i="2"/>
  <c r="E62" i="2"/>
  <c r="E56" i="2"/>
  <c r="E50" i="2"/>
  <c r="E44" i="2"/>
  <c r="E38" i="2"/>
  <c r="E32" i="2"/>
  <c r="E26" i="2"/>
  <c r="G26" i="2" s="1"/>
  <c r="E20" i="2"/>
  <c r="G20" i="2" s="1"/>
  <c r="E14" i="2"/>
  <c r="E8" i="2"/>
  <c r="G5" i="2"/>
  <c r="G334" i="2"/>
  <c r="G310" i="2"/>
  <c r="G298" i="2"/>
  <c r="G286" i="2"/>
  <c r="G280" i="2"/>
  <c r="G262" i="2"/>
  <c r="G226" i="2"/>
  <c r="G208" i="2"/>
  <c r="G202" i="2"/>
  <c r="G178" i="2"/>
  <c r="G241" i="2"/>
  <c r="G229" i="2"/>
  <c r="G181" i="2"/>
  <c r="G175" i="2"/>
  <c r="G169" i="2"/>
  <c r="G157" i="2"/>
  <c r="H528" i="2"/>
  <c r="H522" i="2"/>
  <c r="H516" i="2"/>
  <c r="H510" i="2"/>
  <c r="H504" i="2"/>
  <c r="H498" i="2"/>
  <c r="H492" i="2"/>
  <c r="H486" i="2"/>
  <c r="H480" i="2"/>
  <c r="H474" i="2"/>
  <c r="G6" i="2"/>
  <c r="G530" i="2"/>
  <c r="G524" i="2"/>
  <c r="G518" i="2"/>
  <c r="H529" i="2"/>
  <c r="H523" i="2"/>
  <c r="H517" i="2"/>
  <c r="H511" i="2"/>
  <c r="H505" i="2"/>
  <c r="H499" i="2"/>
  <c r="H493" i="2"/>
  <c r="H487" i="2"/>
  <c r="H468" i="2"/>
  <c r="H462" i="2"/>
  <c r="H456" i="2"/>
  <c r="H450" i="2"/>
  <c r="H444" i="2"/>
  <c r="H527" i="2"/>
  <c r="H521" i="2"/>
  <c r="H515" i="2"/>
  <c r="H509" i="2"/>
  <c r="H2" i="2"/>
  <c r="H526" i="2"/>
  <c r="H520" i="2"/>
  <c r="H514" i="2"/>
  <c r="H508" i="2"/>
  <c r="H502" i="2"/>
  <c r="H496" i="2"/>
  <c r="H531" i="2"/>
  <c r="H525" i="2"/>
  <c r="H519" i="2"/>
  <c r="H513" i="2"/>
  <c r="G512" i="2"/>
  <c r="G506" i="2"/>
  <c r="G500" i="2"/>
  <c r="G494" i="2"/>
  <c r="G488" i="2"/>
  <c r="G482" i="2"/>
  <c r="G476" i="2"/>
  <c r="G470" i="2"/>
  <c r="G464" i="2"/>
  <c r="G458" i="2"/>
  <c r="G452" i="2"/>
  <c r="G446" i="2"/>
  <c r="G440" i="2"/>
  <c r="G434" i="2"/>
  <c r="G428" i="2"/>
  <c r="H422" i="2"/>
  <c r="G416" i="2"/>
  <c r="H410" i="2"/>
  <c r="G404" i="2"/>
  <c r="H398" i="2"/>
  <c r="G392" i="2"/>
  <c r="H386" i="2"/>
  <c r="G380" i="2"/>
  <c r="H374" i="2"/>
  <c r="H368" i="2"/>
  <c r="H362" i="2"/>
  <c r="H356" i="2"/>
  <c r="H350" i="2"/>
  <c r="H344" i="2"/>
  <c r="G338" i="2"/>
  <c r="H332" i="2"/>
  <c r="H326" i="2"/>
  <c r="H320" i="2"/>
  <c r="H314" i="2"/>
  <c r="G308" i="2"/>
  <c r="G302" i="2"/>
  <c r="G296" i="2"/>
  <c r="G290" i="2"/>
  <c r="G284" i="2"/>
  <c r="G278" i="2"/>
  <c r="G272" i="2"/>
  <c r="G266" i="2"/>
  <c r="H260" i="2"/>
  <c r="H254" i="2"/>
  <c r="H248" i="2"/>
  <c r="H242" i="2"/>
  <c r="H236" i="2"/>
  <c r="H230" i="2"/>
  <c r="G224" i="2"/>
  <c r="G218" i="2"/>
  <c r="G212" i="2"/>
  <c r="G206" i="2"/>
  <c r="G200" i="2"/>
  <c r="H194" i="2"/>
  <c r="H188" i="2"/>
  <c r="H182" i="2"/>
  <c r="H176" i="2"/>
  <c r="H170" i="2"/>
  <c r="G164" i="2"/>
  <c r="G158" i="2"/>
  <c r="H152" i="2"/>
  <c r="H146" i="2"/>
  <c r="H140" i="2"/>
  <c r="H134" i="2"/>
  <c r="H128" i="2"/>
  <c r="H122" i="2"/>
  <c r="H116" i="2"/>
  <c r="H110" i="2"/>
  <c r="H104" i="2"/>
  <c r="H98" i="2"/>
  <c r="H92" i="2"/>
  <c r="H86" i="2"/>
  <c r="H80" i="2"/>
  <c r="H74" i="2"/>
  <c r="H68" i="2"/>
  <c r="H62" i="2"/>
  <c r="H56" i="2"/>
  <c r="H50" i="2"/>
  <c r="H44" i="2"/>
  <c r="H38" i="2"/>
  <c r="H32" i="2"/>
  <c r="H26" i="2"/>
  <c r="H20" i="2"/>
  <c r="H14" i="2"/>
  <c r="H8" i="2"/>
  <c r="H481" i="2"/>
  <c r="H475" i="2"/>
  <c r="H469" i="2"/>
  <c r="H463" i="2"/>
  <c r="H457" i="2"/>
  <c r="H451" i="2"/>
  <c r="H445" i="2"/>
  <c r="H439" i="2"/>
  <c r="H433" i="2"/>
  <c r="H427" i="2"/>
  <c r="H421" i="2"/>
  <c r="H415" i="2"/>
  <c r="H409" i="2"/>
  <c r="H403" i="2"/>
  <c r="H397" i="2"/>
  <c r="H391" i="2"/>
  <c r="H385" i="2"/>
  <c r="H379" i="2"/>
  <c r="H373" i="2"/>
  <c r="H367" i="2"/>
  <c r="H361" i="2"/>
  <c r="H355" i="2"/>
  <c r="H349" i="2"/>
  <c r="H343" i="2"/>
  <c r="H337" i="2"/>
  <c r="H331" i="2"/>
  <c r="H325" i="2"/>
  <c r="H319" i="2"/>
  <c r="H313" i="2"/>
  <c r="H307" i="2"/>
  <c r="H301" i="2"/>
  <c r="H295" i="2"/>
  <c r="H289" i="2"/>
  <c r="H283" i="2"/>
  <c r="H277" i="2"/>
  <c r="H271" i="2"/>
  <c r="H265" i="2"/>
  <c r="H259" i="2"/>
  <c r="H253" i="2"/>
  <c r="H247" i="2"/>
  <c r="H235" i="2"/>
  <c r="H223" i="2"/>
  <c r="H217" i="2"/>
  <c r="H211" i="2"/>
  <c r="H205" i="2"/>
  <c r="H199" i="2"/>
  <c r="H193" i="2"/>
  <c r="H187" i="2"/>
  <c r="H163" i="2"/>
  <c r="H151" i="2"/>
  <c r="H145" i="2"/>
  <c r="H139" i="2"/>
  <c r="H133" i="2"/>
  <c r="H127" i="2"/>
  <c r="H121" i="2"/>
  <c r="H115" i="2"/>
  <c r="H109" i="2"/>
  <c r="H103" i="2"/>
  <c r="H97" i="2"/>
  <c r="H91" i="2"/>
  <c r="H85" i="2"/>
  <c r="H79" i="2"/>
  <c r="H73" i="2"/>
  <c r="H67" i="2"/>
  <c r="H61" i="2"/>
  <c r="H55" i="2"/>
  <c r="H49" i="2"/>
  <c r="H43" i="2"/>
  <c r="H37" i="2"/>
  <c r="H31" i="2"/>
  <c r="H25" i="2"/>
  <c r="H19" i="2"/>
  <c r="H13" i="2"/>
  <c r="H7" i="2"/>
  <c r="H438" i="2"/>
  <c r="H432" i="2"/>
  <c r="H426" i="2"/>
  <c r="H420" i="2"/>
  <c r="H414" i="2"/>
  <c r="H408" i="2"/>
  <c r="H402" i="2"/>
  <c r="H396" i="2"/>
  <c r="H390" i="2"/>
  <c r="H384" i="2"/>
  <c r="H378" i="2"/>
  <c r="H372" i="2"/>
  <c r="H366" i="2"/>
  <c r="H360" i="2"/>
  <c r="H354" i="2"/>
  <c r="H348" i="2"/>
  <c r="H342" i="2"/>
  <c r="H336" i="2"/>
  <c r="H330" i="2"/>
  <c r="H324" i="2"/>
  <c r="H318" i="2"/>
  <c r="H312" i="2"/>
  <c r="H306" i="2"/>
  <c r="H300" i="2"/>
  <c r="H294" i="2"/>
  <c r="H288" i="2"/>
  <c r="H282" i="2"/>
  <c r="H276" i="2"/>
  <c r="H270" i="2"/>
  <c r="H264" i="2"/>
  <c r="H258" i="2"/>
  <c r="H252" i="2"/>
  <c r="H246" i="2"/>
  <c r="H240" i="2"/>
  <c r="H234" i="2"/>
  <c r="H228" i="2"/>
  <c r="H222" i="2"/>
  <c r="H216" i="2"/>
  <c r="H210" i="2"/>
  <c r="H204" i="2"/>
  <c r="H198" i="2"/>
  <c r="H192" i="2"/>
  <c r="H186" i="2"/>
  <c r="H180" i="2"/>
  <c r="H174" i="2"/>
  <c r="H168" i="2"/>
  <c r="H162" i="2"/>
  <c r="G156" i="2"/>
  <c r="H150" i="2"/>
  <c r="H144" i="2"/>
  <c r="H138" i="2"/>
  <c r="H132" i="2"/>
  <c r="H126" i="2"/>
  <c r="H120" i="2"/>
  <c r="H114" i="2"/>
  <c r="H108" i="2"/>
  <c r="H102" i="2"/>
  <c r="H96" i="2"/>
  <c r="H90" i="2"/>
  <c r="H84" i="2"/>
  <c r="H78" i="2"/>
  <c r="H72" i="2"/>
  <c r="H66" i="2"/>
  <c r="H60" i="2"/>
  <c r="H54" i="2"/>
  <c r="H48" i="2"/>
  <c r="H42" i="2"/>
  <c r="H36" i="2"/>
  <c r="H30" i="2"/>
  <c r="H24" i="2"/>
  <c r="H18" i="2"/>
  <c r="H12" i="2"/>
  <c r="H503" i="2"/>
  <c r="H497" i="2"/>
  <c r="H491" i="2"/>
  <c r="H485" i="2"/>
  <c r="H479" i="2"/>
  <c r="H473" i="2"/>
  <c r="H467" i="2"/>
  <c r="H461" i="2"/>
  <c r="H455" i="2"/>
  <c r="H449" i="2"/>
  <c r="H443" i="2"/>
  <c r="H437" i="2"/>
  <c r="H431" i="2"/>
  <c r="H425" i="2"/>
  <c r="H419" i="2"/>
  <c r="H413" i="2"/>
  <c r="H407" i="2"/>
  <c r="H401" i="2"/>
  <c r="H395" i="2"/>
  <c r="H389" i="2"/>
  <c r="H383" i="2"/>
  <c r="H377" i="2"/>
  <c r="H371" i="2"/>
  <c r="H365" i="2"/>
  <c r="H359" i="2"/>
  <c r="H353" i="2"/>
  <c r="H347" i="2"/>
  <c r="H341" i="2"/>
  <c r="H335" i="2"/>
  <c r="H329" i="2"/>
  <c r="H323" i="2"/>
  <c r="H317" i="2"/>
  <c r="H311" i="2"/>
  <c r="H305" i="2"/>
  <c r="H299" i="2"/>
  <c r="H293" i="2"/>
  <c r="H287" i="2"/>
  <c r="H281" i="2"/>
  <c r="H275" i="2"/>
  <c r="H269" i="2"/>
  <c r="H263" i="2"/>
  <c r="H257" i="2"/>
  <c r="H251" i="2"/>
  <c r="H245" i="2"/>
  <c r="H239" i="2"/>
  <c r="H233" i="2"/>
  <c r="H227" i="2"/>
  <c r="H221" i="2"/>
  <c r="H215" i="2"/>
  <c r="H209" i="2"/>
  <c r="H203" i="2"/>
  <c r="H197" i="2"/>
  <c r="H191" i="2"/>
  <c r="H185" i="2"/>
  <c r="H179" i="2"/>
  <c r="H173" i="2"/>
  <c r="H167" i="2"/>
  <c r="H161" i="2"/>
  <c r="H155" i="2"/>
  <c r="H149" i="2"/>
  <c r="H143" i="2"/>
  <c r="H137" i="2"/>
  <c r="H131" i="2"/>
  <c r="H125" i="2"/>
  <c r="H119" i="2"/>
  <c r="H113" i="2"/>
  <c r="H107" i="2"/>
  <c r="H101" i="2"/>
  <c r="H95" i="2"/>
  <c r="H89" i="2"/>
  <c r="H83" i="2"/>
  <c r="H77" i="2"/>
  <c r="H71" i="2"/>
  <c r="H65" i="2"/>
  <c r="H59" i="2"/>
  <c r="H53" i="2"/>
  <c r="H47" i="2"/>
  <c r="H41" i="2"/>
  <c r="H35" i="2"/>
  <c r="H29" i="2"/>
  <c r="H23" i="2"/>
  <c r="H17" i="2"/>
  <c r="H11" i="2"/>
  <c r="H5" i="2"/>
  <c r="H490" i="2"/>
  <c r="H484" i="2"/>
  <c r="H478" i="2"/>
  <c r="H472" i="2"/>
  <c r="H466" i="2"/>
  <c r="H460" i="2"/>
  <c r="H454" i="2"/>
  <c r="H448" i="2"/>
  <c r="H442" i="2"/>
  <c r="H436" i="2"/>
  <c r="H430" i="2"/>
  <c r="H424" i="2"/>
  <c r="H418" i="2"/>
  <c r="H412" i="2"/>
  <c r="H406" i="2"/>
  <c r="H400" i="2"/>
  <c r="H394" i="2"/>
  <c r="H388" i="2"/>
  <c r="H382" i="2"/>
  <c r="H376" i="2"/>
  <c r="H370" i="2"/>
  <c r="H364" i="2"/>
  <c r="H358" i="2"/>
  <c r="H352" i="2"/>
  <c r="H346" i="2"/>
  <c r="H340" i="2"/>
  <c r="H328" i="2"/>
  <c r="H322" i="2"/>
  <c r="H316" i="2"/>
  <c r="H304" i="2"/>
  <c r="H292" i="2"/>
  <c r="H274" i="2"/>
  <c r="H268" i="2"/>
  <c r="H256" i="2"/>
  <c r="H250" i="2"/>
  <c r="H244" i="2"/>
  <c r="H238" i="2"/>
  <c r="H232" i="2"/>
  <c r="H220" i="2"/>
  <c r="H214" i="2"/>
  <c r="H196" i="2"/>
  <c r="H184" i="2"/>
  <c r="H172" i="2"/>
  <c r="H166" i="2"/>
  <c r="H160" i="2"/>
  <c r="H154" i="2"/>
  <c r="H148" i="2"/>
  <c r="H142" i="2"/>
  <c r="H136" i="2"/>
  <c r="H130" i="2"/>
  <c r="H124" i="2"/>
  <c r="H118" i="2"/>
  <c r="H112" i="2"/>
  <c r="H106" i="2"/>
  <c r="H100" i="2"/>
  <c r="H94" i="2"/>
  <c r="H88" i="2"/>
  <c r="H82" i="2"/>
  <c r="H76" i="2"/>
  <c r="H70" i="2"/>
  <c r="H64" i="2"/>
  <c r="H58" i="2"/>
  <c r="H52" i="2"/>
  <c r="H46" i="2"/>
  <c r="H34" i="2"/>
  <c r="H22" i="2"/>
  <c r="H10" i="2"/>
  <c r="H4" i="2"/>
  <c r="H507" i="2"/>
  <c r="H501" i="2"/>
  <c r="H495" i="2"/>
  <c r="H489" i="2"/>
  <c r="H483" i="2"/>
  <c r="H477" i="2"/>
  <c r="H471" i="2"/>
  <c r="H465" i="2"/>
  <c r="H459" i="2"/>
  <c r="H453" i="2"/>
  <c r="H447" i="2"/>
  <c r="H441" i="2"/>
  <c r="H435" i="2"/>
  <c r="H429" i="2"/>
  <c r="H423" i="2"/>
  <c r="H417" i="2"/>
  <c r="H411" i="2"/>
  <c r="H405" i="2"/>
  <c r="H399" i="2"/>
  <c r="H393" i="2"/>
  <c r="H387" i="2"/>
  <c r="H381" i="2"/>
  <c r="H375" i="2"/>
  <c r="H369" i="2"/>
  <c r="H363" i="2"/>
  <c r="H357" i="2"/>
  <c r="H351" i="2"/>
  <c r="H345" i="2"/>
  <c r="H339" i="2"/>
  <c r="H333" i="2"/>
  <c r="H327" i="2"/>
  <c r="H321" i="2"/>
  <c r="H315" i="2"/>
  <c r="H309" i="2"/>
  <c r="H303" i="2"/>
  <c r="H297" i="2"/>
  <c r="H291" i="2"/>
  <c r="H285" i="2"/>
  <c r="H279" i="2"/>
  <c r="H273" i="2"/>
  <c r="H267" i="2"/>
  <c r="H261" i="2"/>
  <c r="H255" i="2"/>
  <c r="H249" i="2"/>
  <c r="H243" i="2"/>
  <c r="H237" i="2"/>
  <c r="H231" i="2"/>
  <c r="H225" i="2"/>
  <c r="H219" i="2"/>
  <c r="H213" i="2"/>
  <c r="H207" i="2"/>
  <c r="H201" i="2"/>
  <c r="H195" i="2"/>
  <c r="H189" i="2"/>
  <c r="H183" i="2"/>
  <c r="H177" i="2"/>
  <c r="H171" i="2"/>
  <c r="H165" i="2"/>
  <c r="H159" i="2"/>
  <c r="H153" i="2"/>
  <c r="G147" i="2"/>
  <c r="G141" i="2"/>
  <c r="H135" i="2"/>
  <c r="G129" i="2"/>
  <c r="H123" i="2"/>
  <c r="H117" i="2"/>
  <c r="H111" i="2"/>
  <c r="H105" i="2"/>
  <c r="H99" i="2"/>
  <c r="G93" i="2"/>
  <c r="H87" i="2"/>
  <c r="H81" i="2"/>
  <c r="H75" i="2"/>
  <c r="H69" i="2"/>
  <c r="H63" i="2"/>
  <c r="H57" i="2"/>
  <c r="H51" i="2"/>
  <c r="H45" i="2"/>
  <c r="H39" i="2"/>
  <c r="H33" i="2"/>
  <c r="H27" i="2"/>
  <c r="H21" i="2"/>
  <c r="H15" i="2"/>
  <c r="H9" i="2"/>
  <c r="H208" i="2"/>
  <c r="H280" i="2"/>
  <c r="G180" i="2"/>
  <c r="H175" i="2"/>
  <c r="G126" i="2"/>
  <c r="G114" i="2"/>
  <c r="H164" i="2"/>
  <c r="H200" i="2"/>
  <c r="H212" i="2"/>
  <c r="H224" i="2"/>
  <c r="H272" i="2"/>
  <c r="H284" i="2"/>
  <c r="H296" i="2"/>
  <c r="H308" i="2"/>
  <c r="H380" i="2"/>
  <c r="H392" i="2"/>
  <c r="H404" i="2"/>
  <c r="H416" i="2"/>
  <c r="H428" i="2"/>
  <c r="H440" i="2"/>
  <c r="H452" i="2"/>
  <c r="H464" i="2"/>
  <c r="H476" i="2"/>
  <c r="H488" i="2"/>
  <c r="H500" i="2"/>
  <c r="H512" i="2"/>
  <c r="H524" i="2"/>
  <c r="H93" i="2"/>
  <c r="H129" i="2"/>
  <c r="H141" i="2"/>
  <c r="G245" i="2"/>
  <c r="H178" i="2"/>
  <c r="H190" i="2"/>
  <c r="H202" i="2"/>
  <c r="H226" i="2"/>
  <c r="H262" i="2"/>
  <c r="H286" i="2"/>
  <c r="H298" i="2"/>
  <c r="H310" i="2"/>
  <c r="H334" i="2"/>
  <c r="H156" i="2"/>
  <c r="H157" i="2"/>
  <c r="H169" i="2"/>
  <c r="H181" i="2"/>
  <c r="H229" i="2"/>
  <c r="H241" i="2"/>
  <c r="G69" i="2"/>
  <c r="H158" i="2"/>
  <c r="H206" i="2"/>
  <c r="H218" i="2"/>
  <c r="H266" i="2"/>
  <c r="H278" i="2"/>
  <c r="H290" i="2"/>
  <c r="H302" i="2"/>
  <c r="H338" i="2"/>
  <c r="H434" i="2"/>
  <c r="H446" i="2"/>
  <c r="H458" i="2"/>
  <c r="H470" i="2"/>
  <c r="H482" i="2"/>
  <c r="H494" i="2"/>
  <c r="H506" i="2"/>
  <c r="H518" i="2"/>
  <c r="H530" i="2"/>
  <c r="G68" i="2"/>
  <c r="H147" i="2"/>
  <c r="G330" i="2"/>
  <c r="G312" i="2"/>
  <c r="G282" i="2"/>
  <c r="G264" i="2"/>
  <c r="G84" i="2"/>
  <c r="G65" i="2"/>
  <c r="G47" i="2"/>
  <c r="G17" i="2"/>
  <c r="G148" i="2"/>
  <c r="G118" i="2"/>
  <c r="G106" i="2"/>
  <c r="G64" i="2"/>
  <c r="G58" i="2"/>
  <c r="G52" i="2"/>
  <c r="G10" i="2"/>
  <c r="G4" i="2"/>
  <c r="G237" i="2"/>
  <c r="G177" i="2"/>
  <c r="G165" i="2"/>
  <c r="H6" i="2"/>
  <c r="G116" i="2"/>
  <c r="G110" i="2"/>
  <c r="G80" i="2"/>
  <c r="G74" i="2"/>
  <c r="G109" i="2"/>
  <c r="G73" i="2"/>
  <c r="G244" i="2"/>
  <c r="G97" i="2"/>
  <c r="G62" i="2"/>
  <c r="G56" i="2"/>
  <c r="G50" i="2"/>
  <c r="G32" i="2"/>
  <c r="G49" i="2"/>
  <c r="G333" i="2"/>
  <c r="G285" i="2"/>
  <c r="G78" i="2"/>
  <c r="G260" i="2"/>
  <c r="G207" i="2"/>
  <c r="G201" i="2"/>
  <c r="G189" i="2"/>
  <c r="G160" i="2"/>
  <c r="G101" i="2"/>
  <c r="G48" i="2"/>
  <c r="G42" i="2"/>
  <c r="G36" i="2"/>
  <c r="G30" i="2"/>
  <c r="G100" i="2"/>
  <c r="G246" i="2"/>
  <c r="G228" i="2"/>
  <c r="G128" i="2"/>
  <c r="G81" i="2"/>
  <c r="G216" i="2"/>
  <c r="G192" i="2"/>
  <c r="G45" i="2"/>
  <c r="G33" i="2"/>
  <c r="G9" i="2"/>
  <c r="G337" i="2"/>
  <c r="G319" i="2"/>
  <c r="G313" i="2"/>
  <c r="G254" i="2"/>
  <c r="G248" i="2"/>
  <c r="G225" i="2"/>
  <c r="G213" i="2"/>
  <c r="G184" i="2"/>
  <c r="G144" i="2"/>
  <c r="G138" i="2"/>
  <c r="G132" i="2"/>
  <c r="G70" i="2"/>
  <c r="G59" i="2"/>
  <c r="G14" i="2"/>
  <c r="G426" i="2"/>
  <c r="G414" i="2"/>
  <c r="G402" i="2"/>
  <c r="G390" i="2"/>
  <c r="G378" i="2"/>
  <c r="G366" i="2"/>
  <c r="G360" i="2"/>
  <c r="G354" i="2"/>
  <c r="G348" i="2"/>
  <c r="G342" i="2"/>
  <c r="G324" i="2"/>
  <c r="G301" i="2"/>
  <c r="G289" i="2"/>
  <c r="G271" i="2"/>
  <c r="G265" i="2"/>
  <c r="G236" i="2"/>
  <c r="G230" i="2"/>
  <c r="G166" i="2"/>
  <c r="G155" i="2"/>
  <c r="G149" i="2"/>
  <c r="G104" i="2"/>
  <c r="G25" i="2"/>
  <c r="G294" i="2"/>
  <c r="G276" i="2"/>
  <c r="G154" i="2"/>
  <c r="G527" i="2"/>
  <c r="G521" i="2"/>
  <c r="G515" i="2"/>
  <c r="G509" i="2"/>
  <c r="G503" i="2"/>
  <c r="G497" i="2"/>
  <c r="G491" i="2"/>
  <c r="G485" i="2"/>
  <c r="G479" i="2"/>
  <c r="G473" i="2"/>
  <c r="G467" i="2"/>
  <c r="G461" i="2"/>
  <c r="G455" i="2"/>
  <c r="G449" i="2"/>
  <c r="G443" i="2"/>
  <c r="G437" i="2"/>
  <c r="G431" i="2"/>
  <c r="G425" i="2"/>
  <c r="G419" i="2"/>
  <c r="G413" i="2"/>
  <c r="G407" i="2"/>
  <c r="G401" i="2"/>
  <c r="G395" i="2"/>
  <c r="G389" i="2"/>
  <c r="G383" i="2"/>
  <c r="G377" i="2"/>
  <c r="G371" i="2"/>
  <c r="G365" i="2"/>
  <c r="G359" i="2"/>
  <c r="G353" i="2"/>
  <c r="G347" i="2"/>
  <c r="G341" i="2"/>
  <c r="G240" i="2"/>
  <c r="G223" i="2"/>
  <c r="G217" i="2"/>
  <c r="G188" i="2"/>
  <c r="G182" i="2"/>
  <c r="G159" i="2"/>
  <c r="G142" i="2"/>
  <c r="G125" i="2"/>
  <c r="G108" i="2"/>
  <c r="G46" i="2"/>
  <c r="G18" i="2"/>
  <c r="G12" i="2"/>
  <c r="G2" i="2"/>
  <c r="G430" i="2"/>
  <c r="G418" i="2"/>
  <c r="G406" i="2"/>
  <c r="G394" i="2"/>
  <c r="G382" i="2"/>
  <c r="G370" i="2"/>
  <c r="G364" i="2"/>
  <c r="G358" i="2"/>
  <c r="G352" i="2"/>
  <c r="G346" i="2"/>
  <c r="G340" i="2"/>
  <c r="G322" i="2"/>
  <c r="G293" i="2"/>
  <c r="G234" i="2"/>
  <c r="G193" i="2"/>
  <c r="G176" i="2"/>
  <c r="G170" i="2"/>
  <c r="G113" i="2"/>
  <c r="G96" i="2"/>
  <c r="G51" i="2"/>
  <c r="G40" i="2"/>
  <c r="G29" i="2"/>
  <c r="G292" i="2"/>
  <c r="G274" i="2"/>
  <c r="G198" i="2"/>
  <c r="G89" i="2"/>
  <c r="G321" i="2"/>
  <c r="G309" i="2"/>
  <c r="G256" i="2"/>
  <c r="G250" i="2"/>
  <c r="G238" i="2"/>
  <c r="G186" i="2"/>
  <c r="G140" i="2"/>
  <c r="G134" i="2"/>
  <c r="G72" i="2"/>
  <c r="G61" i="2"/>
  <c r="G303" i="2"/>
  <c r="G297" i="2"/>
  <c r="G273" i="2"/>
  <c r="G261" i="2"/>
  <c r="G232" i="2"/>
  <c r="G197" i="2"/>
  <c r="G168" i="2"/>
  <c r="G94" i="2"/>
  <c r="G77" i="2"/>
  <c r="G66" i="2"/>
  <c r="G44" i="2"/>
  <c r="G38" i="2"/>
  <c r="G332" i="2"/>
  <c r="G326" i="2"/>
  <c r="G320" i="2"/>
  <c r="G314" i="2"/>
  <c r="G255" i="2"/>
  <c r="G249" i="2"/>
  <c r="G214" i="2"/>
  <c r="G196" i="2"/>
  <c r="G150" i="2"/>
  <c r="G145" i="2"/>
  <c r="G139" i="2"/>
  <c r="G133" i="2"/>
  <c r="G122" i="2"/>
  <c r="G82" i="2"/>
  <c r="G76" i="2"/>
  <c r="G60" i="2"/>
  <c r="G54" i="2"/>
  <c r="G526" i="2"/>
  <c r="G520" i="2"/>
  <c r="G514" i="2"/>
  <c r="G508" i="2"/>
  <c r="G502" i="2"/>
  <c r="G496" i="2"/>
  <c r="G490" i="2"/>
  <c r="G484" i="2"/>
  <c r="G478" i="2"/>
  <c r="G472" i="2"/>
  <c r="G466" i="2"/>
  <c r="G460" i="2"/>
  <c r="G454" i="2"/>
  <c r="G448" i="2"/>
  <c r="G442" i="2"/>
  <c r="G436" i="2"/>
  <c r="G424" i="2"/>
  <c r="G412" i="2"/>
  <c r="G400" i="2"/>
  <c r="G388" i="2"/>
  <c r="G376" i="2"/>
  <c r="G329" i="2"/>
  <c r="G281" i="2"/>
  <c r="G233" i="2"/>
  <c r="G185" i="2"/>
  <c r="G117" i="2"/>
  <c r="G112" i="2"/>
  <c r="G107" i="2"/>
  <c r="G92" i="2"/>
  <c r="G86" i="2"/>
  <c r="G34" i="2"/>
  <c r="G24" i="2"/>
  <c r="G13" i="2"/>
  <c r="G8" i="2"/>
  <c r="G531" i="2"/>
  <c r="G525" i="2"/>
  <c r="G519" i="2"/>
  <c r="G513" i="2"/>
  <c r="G507" i="2"/>
  <c r="G501" i="2"/>
  <c r="G495" i="2"/>
  <c r="G489" i="2"/>
  <c r="G483" i="2"/>
  <c r="G477" i="2"/>
  <c r="G471" i="2"/>
  <c r="G465" i="2"/>
  <c r="G459" i="2"/>
  <c r="G453" i="2"/>
  <c r="G447" i="2"/>
  <c r="G441" i="2"/>
  <c r="G435" i="2"/>
  <c r="G429" i="2"/>
  <c r="G423" i="2"/>
  <c r="G417" i="2"/>
  <c r="G411" i="2"/>
  <c r="G405" i="2"/>
  <c r="G399" i="2"/>
  <c r="G393" i="2"/>
  <c r="G387" i="2"/>
  <c r="G381" i="2"/>
  <c r="G375" i="2"/>
  <c r="G369" i="2"/>
  <c r="G363" i="2"/>
  <c r="G357" i="2"/>
  <c r="G351" i="2"/>
  <c r="G345" i="2"/>
  <c r="G339" i="2"/>
  <c r="G318" i="2"/>
  <c r="G291" i="2"/>
  <c r="G270" i="2"/>
  <c r="G243" i="2"/>
  <c r="G222" i="2"/>
  <c r="G195" i="2"/>
  <c r="G174" i="2"/>
  <c r="G153" i="2"/>
  <c r="G137" i="2"/>
  <c r="G127" i="2"/>
  <c r="G111" i="2"/>
  <c r="G91" i="2"/>
  <c r="G85" i="2"/>
  <c r="G28" i="2"/>
  <c r="G422" i="2"/>
  <c r="G410" i="2"/>
  <c r="G398" i="2"/>
  <c r="G386" i="2"/>
  <c r="G374" i="2"/>
  <c r="G368" i="2"/>
  <c r="G362" i="2"/>
  <c r="G356" i="2"/>
  <c r="G350" i="2"/>
  <c r="G344" i="2"/>
  <c r="G328" i="2"/>
  <c r="G253" i="2"/>
  <c r="G242" i="2"/>
  <c r="G205" i="2"/>
  <c r="G194" i="2"/>
  <c r="G152" i="2"/>
  <c r="G121" i="2"/>
  <c r="G90" i="2"/>
  <c r="G53" i="2"/>
  <c r="G22" i="2"/>
  <c r="G327" i="2"/>
  <c r="G317" i="2"/>
  <c r="G306" i="2"/>
  <c r="G279" i="2"/>
  <c r="G269" i="2"/>
  <c r="G258" i="2"/>
  <c r="G231" i="2"/>
  <c r="G221" i="2"/>
  <c r="G210" i="2"/>
  <c r="G183" i="2"/>
  <c r="G173" i="2"/>
  <c r="G162" i="2"/>
  <c r="G146" i="2"/>
  <c r="G136" i="2"/>
  <c r="G105" i="2"/>
  <c r="G79" i="2"/>
  <c r="G63" i="2"/>
  <c r="G43" i="2"/>
  <c r="G37" i="2"/>
  <c r="G529" i="2"/>
  <c r="G523" i="2"/>
  <c r="G517" i="2"/>
  <c r="G511" i="2"/>
  <c r="G505" i="2"/>
  <c r="G499" i="2"/>
  <c r="G493" i="2"/>
  <c r="G487" i="2"/>
  <c r="G481" i="2"/>
  <c r="G475" i="2"/>
  <c r="G469" i="2"/>
  <c r="G463" i="2"/>
  <c r="G457" i="2"/>
  <c r="G451" i="2"/>
  <c r="G445" i="2"/>
  <c r="G439" i="2"/>
  <c r="G433" i="2"/>
  <c r="G427" i="2"/>
  <c r="G421" i="2"/>
  <c r="G415" i="2"/>
  <c r="G409" i="2"/>
  <c r="G403" i="2"/>
  <c r="G397" i="2"/>
  <c r="G391" i="2"/>
  <c r="G385" i="2"/>
  <c r="G379" i="2"/>
  <c r="G373" i="2"/>
  <c r="G367" i="2"/>
  <c r="G361" i="2"/>
  <c r="G355" i="2"/>
  <c r="G349" i="2"/>
  <c r="G343" i="2"/>
  <c r="G316" i="2"/>
  <c r="G305" i="2"/>
  <c r="G300" i="2"/>
  <c r="G268" i="2"/>
  <c r="G257" i="2"/>
  <c r="G252" i="2"/>
  <c r="G220" i="2"/>
  <c r="G209" i="2"/>
  <c r="G204" i="2"/>
  <c r="G172" i="2"/>
  <c r="G161" i="2"/>
  <c r="G130" i="2"/>
  <c r="G120" i="2"/>
  <c r="G99" i="2"/>
  <c r="G21" i="2"/>
  <c r="G16" i="2"/>
  <c r="G528" i="2"/>
  <c r="G522" i="2"/>
  <c r="G516" i="2"/>
  <c r="G510" i="2"/>
  <c r="G504" i="2"/>
  <c r="G498" i="2"/>
  <c r="G492" i="2"/>
  <c r="G486" i="2"/>
  <c r="G480" i="2"/>
  <c r="G474" i="2"/>
  <c r="G468" i="2"/>
  <c r="G462" i="2"/>
  <c r="G456" i="2"/>
  <c r="G450" i="2"/>
  <c r="G444" i="2"/>
  <c r="G438" i="2"/>
  <c r="G432" i="2"/>
  <c r="G420" i="2"/>
  <c r="G408" i="2"/>
  <c r="G396" i="2"/>
  <c r="G384" i="2"/>
  <c r="G372" i="2"/>
  <c r="G299" i="2"/>
  <c r="G251" i="2"/>
  <c r="G203" i="2"/>
  <c r="G124" i="2"/>
  <c r="G98" i="2"/>
  <c r="G88" i="2"/>
  <c r="G57" i="2"/>
  <c r="G41" i="2"/>
  <c r="G31" i="2"/>
  <c r="G15" i="2"/>
  <c r="G336" i="2"/>
  <c r="G325" i="2"/>
  <c r="G304" i="2"/>
  <c r="G288" i="2"/>
  <c r="G277" i="2"/>
  <c r="G102" i="2"/>
  <c r="G295" i="2"/>
  <c r="G247" i="2"/>
  <c r="G199" i="2"/>
  <c r="G151" i="2"/>
  <c r="G103" i="2"/>
  <c r="G55" i="2"/>
  <c r="G7" i="2"/>
  <c r="G11" i="2"/>
  <c r="G307" i="2"/>
  <c r="G259" i="2"/>
  <c r="G211" i="2"/>
  <c r="G163" i="2"/>
  <c r="G115" i="2"/>
  <c r="G67" i="2"/>
  <c r="G19" i="2"/>
  <c r="G311" i="2"/>
  <c r="G263" i="2"/>
  <c r="G215" i="2"/>
  <c r="G167" i="2"/>
  <c r="G119" i="2"/>
  <c r="G71" i="2"/>
  <c r="G23" i="2"/>
  <c r="G315" i="2"/>
  <c r="G267" i="2"/>
  <c r="G219" i="2"/>
  <c r="G171" i="2"/>
  <c r="G123" i="2"/>
  <c r="G75" i="2"/>
  <c r="G27" i="2"/>
  <c r="G323" i="2"/>
  <c r="G275" i="2"/>
  <c r="G227" i="2"/>
  <c r="G179" i="2"/>
  <c r="G131" i="2"/>
  <c r="G83" i="2"/>
  <c r="G35" i="2"/>
  <c r="G135" i="2"/>
  <c r="G87" i="2"/>
  <c r="G39" i="2"/>
  <c r="G331" i="2"/>
  <c r="G283" i="2"/>
  <c r="G235" i="2"/>
  <c r="G187" i="2"/>
  <c r="G335" i="2"/>
  <c r="G287" i="2"/>
  <c r="G239" i="2"/>
  <c r="G191" i="2"/>
  <c r="G143" i="2"/>
  <c r="G95" i="2"/>
  <c r="H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<sst xmlns="http://schemas.openxmlformats.org/spreadsheetml/2006/main" count="6869" uniqueCount="766">
  <si>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</si>
  <si>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</si>
  <si>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</si>
  <si>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</si>
  <si>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</si>
  <si>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</si>
  <si>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</si>
  <si>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</si>
  <si>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</si>
  <si>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</si>
  <si>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</si>
  <si>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</si>
  <si>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</si>
  <si>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</si>
  <si>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</si>
  <si>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xGBuildup</t>
  </si>
  <si>
    <t>xGChain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</si>
  <si>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</si>
  <si>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</si>
  <si>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</si>
  <si>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</si>
  <si>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</si>
  <si>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</si>
  <si>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</si>
  <si>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</si>
  <si>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</si>
  <si>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</si>
  <si>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</si>
  <si>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Sergio Agüero</t>
  </si>
  <si>
    <t>F S</t>
  </si>
  <si>
    <t>Manchester City</t>
  </si>
  <si>
    <t>EPL</t>
  </si>
  <si>
    <t>F</t>
  </si>
  <si>
    <t>2014/15</t>
  </si>
  <si>
    <t>Harry Kane</t>
  </si>
  <si>
    <t>F M S</t>
  </si>
  <si>
    <t>Tottenham</t>
  </si>
  <si>
    <t>Diego Costa</t>
  </si>
  <si>
    <t>Chelsea</t>
  </si>
  <si>
    <t>Charlie Austin</t>
  </si>
  <si>
    <t>Queens Park Rangers</t>
  </si>
  <si>
    <t>Alexis Sánchez</t>
  </si>
  <si>
    <t>Arsenal</t>
  </si>
  <si>
    <t>Olivier Giroud</t>
  </si>
  <si>
    <t>Saido Berahino</t>
  </si>
  <si>
    <t>West Bromwich Albion</t>
  </si>
  <si>
    <t>Christian Benteke</t>
  </si>
  <si>
    <t>Aston Villa</t>
  </si>
  <si>
    <t>Wayne Rooney</t>
  </si>
  <si>
    <t>F M</t>
  </si>
  <si>
    <t>Manchester United</t>
  </si>
  <si>
    <t>Graziano Pellè</t>
  </si>
  <si>
    <t>Southampton</t>
  </si>
  <si>
    <t>Wilfried Bony</t>
  </si>
  <si>
    <t>Manchester City,Swansea</t>
  </si>
  <si>
    <t>Leonardo Ulloa</t>
  </si>
  <si>
    <t>Leicester</t>
  </si>
  <si>
    <t>Papiss Demba Cissé</t>
  </si>
  <si>
    <t>Newcastle United</t>
  </si>
  <si>
    <t>Mame Biram Diouf</t>
  </si>
  <si>
    <t>Stoke</t>
  </si>
  <si>
    <t>Danny Ings</t>
  </si>
  <si>
    <t>Burnley</t>
  </si>
  <si>
    <t>Romelu Lukaku</t>
  </si>
  <si>
    <t>Everton</t>
  </si>
  <si>
    <t>Diafra Sakho</t>
  </si>
  <si>
    <t>West Ham</t>
  </si>
  <si>
    <t>Sadio Mané</t>
  </si>
  <si>
    <t>Robin van Persie</t>
  </si>
  <si>
    <t>2015/16</t>
  </si>
  <si>
    <t>Jamie Vardy</t>
  </si>
  <si>
    <t>Odion Ighalo</t>
  </si>
  <si>
    <t>Watford</t>
  </si>
  <si>
    <t>Jermain Defoe</t>
  </si>
  <si>
    <t>Sunderland</t>
  </si>
  <si>
    <t>Troy Deeney</t>
  </si>
  <si>
    <t>André Ayew</t>
  </si>
  <si>
    <t>Swansea</t>
  </si>
  <si>
    <t>Anthony Martial</t>
  </si>
  <si>
    <t>Gylfi Sigurdsson</t>
  </si>
  <si>
    <t>Marko Arnautovic</t>
  </si>
  <si>
    <t>Roberto Firmino</t>
  </si>
  <si>
    <t>Liverpool</t>
  </si>
  <si>
    <t>Shane Long</t>
  </si>
  <si>
    <t>2016/17</t>
  </si>
  <si>
    <t>Dele Alli</t>
  </si>
  <si>
    <t>Zlatan Ibrahimovic</t>
  </si>
  <si>
    <t>Joshua King</t>
  </si>
  <si>
    <t>Bournemouth</t>
  </si>
  <si>
    <t>Eden Hazard</t>
  </si>
  <si>
    <t>Crystal Palace</t>
  </si>
  <si>
    <t>Fernando Llorente</t>
  </si>
  <si>
    <t>Son Heung-Min</t>
  </si>
  <si>
    <t>Philippe Coutinho</t>
  </si>
  <si>
    <t>Theo Walcott</t>
  </si>
  <si>
    <t>Sam Vokes</t>
  </si>
  <si>
    <t>Mohamed Salah</t>
  </si>
  <si>
    <t>2017/18</t>
  </si>
  <si>
    <t>Raheem Sterling</t>
  </si>
  <si>
    <t>Alexandre Lacazette</t>
  </si>
  <si>
    <t>Gabriel Jesus</t>
  </si>
  <si>
    <t>Riyad Mahrez</t>
  </si>
  <si>
    <t>Glenn Murray</t>
  </si>
  <si>
    <t>Brighton</t>
  </si>
  <si>
    <t>Álvaro Morata</t>
  </si>
  <si>
    <t>Pierre-Emerick Aubameyang</t>
  </si>
  <si>
    <t>Chris Wood</t>
  </si>
  <si>
    <t>2018/19</t>
  </si>
  <si>
    <t>Callum Wilson</t>
  </si>
  <si>
    <t>Raúl Jiménez</t>
  </si>
  <si>
    <t>Wolverhampton Wanderers</t>
  </si>
  <si>
    <t>Richarlison</t>
  </si>
  <si>
    <t>Ayoze Pérez</t>
  </si>
  <si>
    <t>Ashley Barnes</t>
  </si>
  <si>
    <t>Aleksandar Mitrovic</t>
  </si>
  <si>
    <t>Fulham</t>
  </si>
  <si>
    <t>Salomón Rondón</t>
  </si>
  <si>
    <t>Leroy Sané</t>
  </si>
  <si>
    <t>Wilfried Zaha</t>
  </si>
  <si>
    <t>Marcus Rashford</t>
  </si>
  <si>
    <t>Gerard Deulofeu</t>
  </si>
  <si>
    <t>Lucas Moura</t>
  </si>
  <si>
    <t>2019/20</t>
  </si>
  <si>
    <t>Tammy Abraham</t>
  </si>
  <si>
    <t>Dominic Calvert-Lewin</t>
  </si>
  <si>
    <t>Teemu Pukki</t>
  </si>
  <si>
    <t>Norwich</t>
  </si>
  <si>
    <t>Michail Antonio</t>
  </si>
  <si>
    <t>Neal Maupay</t>
  </si>
  <si>
    <t>Mason Greenwood</t>
  </si>
  <si>
    <t>2020/21</t>
  </si>
  <si>
    <t>Patrick Bamford</t>
  </si>
  <si>
    <t>Leeds</t>
  </si>
  <si>
    <t>Ollie Watkins</t>
  </si>
  <si>
    <t>Kelechi Iheanacho</t>
  </si>
  <si>
    <t>Edinson Cavani</t>
  </si>
  <si>
    <t>Anwar El Ghazi</t>
  </si>
  <si>
    <t>Nicolas Pepe</t>
  </si>
  <si>
    <t>2021/22</t>
  </si>
  <si>
    <t>Cristiano Ronaldo</t>
  </si>
  <si>
    <t>Diogo Jota</t>
  </si>
  <si>
    <t>Ivan Toney</t>
  </si>
  <si>
    <t>Brentford</t>
  </si>
  <si>
    <t>Jarrod Bowen</t>
  </si>
  <si>
    <t>James Maddison</t>
  </si>
  <si>
    <t>Bukayo Saka</t>
  </si>
  <si>
    <t>Mason Mount</t>
  </si>
  <si>
    <t>Raphinha</t>
  </si>
  <si>
    <t>Bruno Fernandes</t>
  </si>
  <si>
    <t>Emile Smith-Rowe</t>
  </si>
  <si>
    <t>Emmanuel Dennis</t>
  </si>
  <si>
    <t>Erling Haaland</t>
  </si>
  <si>
    <t>2022/23</t>
  </si>
  <si>
    <t>Gabriel Martinelli</t>
  </si>
  <si>
    <t>Rodrigo</t>
  </si>
  <si>
    <t>Harvey Barnes</t>
  </si>
  <si>
    <t>Phil Foden</t>
  </si>
  <si>
    <t>Miguel Almirón</t>
  </si>
  <si>
    <t>Alexander Isak</t>
  </si>
  <si>
    <t>Taiwo Awoniyi</t>
  </si>
  <si>
    <t>Nottingham Forest</t>
  </si>
  <si>
    <t>Eberechi Eze</t>
  </si>
  <si>
    <t>2023/24</t>
  </si>
  <si>
    <t>Cole Palmer</t>
  </si>
  <si>
    <t>Chelsea,Manchester City</t>
  </si>
  <si>
    <t>Dominic Solanke</t>
  </si>
  <si>
    <t>Jean-Philippe Mateta</t>
  </si>
  <si>
    <t>Nicolas Jackson</t>
  </si>
  <si>
    <t>Kai Havertz</t>
  </si>
  <si>
    <t>Yoane Wissa</t>
  </si>
  <si>
    <t>Matheus Cunha</t>
  </si>
  <si>
    <t>Leandro Trossard</t>
  </si>
  <si>
    <t>Hee-Chan Hwang</t>
  </si>
  <si>
    <t>Anthony Gordon</t>
  </si>
  <si>
    <t>Darwin Núñez</t>
  </si>
  <si>
    <t>Julián Álvarez</t>
  </si>
  <si>
    <t>Carlton Morris</t>
  </si>
  <si>
    <t>Luton</t>
  </si>
  <si>
    <t>Leon Bailey</t>
  </si>
  <si>
    <t>Michael Olise</t>
  </si>
  <si>
    <t>Rasmus Højlund</t>
  </si>
  <si>
    <t>Elijah Adebayo</t>
  </si>
  <si>
    <t>2024/25</t>
  </si>
  <si>
    <t>Jørgen Strand Larsen</t>
  </si>
  <si>
    <t>Luis Díaz</t>
  </si>
  <si>
    <t>Liam Delap</t>
  </si>
  <si>
    <t>Ipswich</t>
  </si>
  <si>
    <t>Kevin Schade</t>
  </si>
  <si>
    <t>Brennan Johnson</t>
  </si>
  <si>
    <t>Antoine Semenyo</t>
  </si>
  <si>
    <t>Danny Welbeck</t>
  </si>
  <si>
    <t>João Pedro</t>
  </si>
  <si>
    <t>Kaoru Mitoma</t>
  </si>
  <si>
    <t>Cody Gakpo</t>
  </si>
  <si>
    <t>Evanilson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</si>
  <si>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</si>
  <si>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</si>
  <si>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</si>
  <si>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</si>
  <si>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</si>
  <si>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</si>
  <si>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</si>
  <si>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</si>
  <si>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</si>
  <si>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Aduriz</t>
  </si>
  <si>
    <t>Athletic Club</t>
  </si>
  <si>
    <t>Alberto Bueno</t>
  </si>
  <si>
    <t>Rayo Vallecano</t>
  </si>
  <si>
    <t>Luis Suárez</t>
  </si>
  <si>
    <t>Karim Benzema</t>
  </si>
  <si>
    <t>Jonathas</t>
  </si>
  <si>
    <t>Elche</t>
  </si>
  <si>
    <t>Sergio García</t>
  </si>
  <si>
    <t>Espanyol</t>
  </si>
  <si>
    <t>Nolito</t>
  </si>
  <si>
    <t>Celta Vigo</t>
  </si>
  <si>
    <t>James Rodríguez</t>
  </si>
  <si>
    <t>Gareth Bale</t>
  </si>
  <si>
    <t>Mario Mandzukic</t>
  </si>
  <si>
    <t>Cristhian Stuani</t>
  </si>
  <si>
    <t>Luciano Vietto</t>
  </si>
  <si>
    <t>Villarreal</t>
  </si>
  <si>
    <t>David Barral</t>
  </si>
  <si>
    <t>Levante</t>
  </si>
  <si>
    <t>Paco Alcácer</t>
  </si>
  <si>
    <t>Valencia</t>
  </si>
  <si>
    <t>Joaquín Larrivey</t>
  </si>
  <si>
    <t>Rubén Castro</t>
  </si>
  <si>
    <t>Real Betis</t>
  </si>
  <si>
    <t>Borja Bastón</t>
  </si>
  <si>
    <t>Eibar</t>
  </si>
  <si>
    <t>Lucas Pérez</t>
  </si>
  <si>
    <t>Deportivo La Coruna</t>
  </si>
  <si>
    <t>Youssef El-Arabi</t>
  </si>
  <si>
    <t>Granada</t>
  </si>
  <si>
    <t>Kevin Gameiro</t>
  </si>
  <si>
    <t>Iago Aspas</t>
  </si>
  <si>
    <t>Imanol Agirretxe</t>
  </si>
  <si>
    <t>Real Sociedad</t>
  </si>
  <si>
    <t>Javi Guerra</t>
  </si>
  <si>
    <t>Cédric Bakambu</t>
  </si>
  <si>
    <t>Charles</t>
  </si>
  <si>
    <t>Malaga</t>
  </si>
  <si>
    <t>Antonio Sanabria</t>
  </si>
  <si>
    <t>Sporting Gijon</t>
  </si>
  <si>
    <t>Fernando Torres</t>
  </si>
  <si>
    <t>Jonathan Viera</t>
  </si>
  <si>
    <t>Las Palmas</t>
  </si>
  <si>
    <t>Sandro Ramírez</t>
  </si>
  <si>
    <t>Gerard Moreno</t>
  </si>
  <si>
    <t>Willian José</t>
  </si>
  <si>
    <t>Florin Andone</t>
  </si>
  <si>
    <t>Juanmi</t>
  </si>
  <si>
    <t>Sergi Enrich</t>
  </si>
  <si>
    <t>Wissam Ben Yedder</t>
  </si>
  <si>
    <t>Kevin-Prince Boateng</t>
  </si>
  <si>
    <t>Isco</t>
  </si>
  <si>
    <t>Yannick Carrasco</t>
  </si>
  <si>
    <t>Pablo Piatti</t>
  </si>
  <si>
    <t>Raúl García</t>
  </si>
  <si>
    <t>Sergio León</t>
  </si>
  <si>
    <t>Osasuna</t>
  </si>
  <si>
    <t>Girona</t>
  </si>
  <si>
    <t>Maxi Gómez</t>
  </si>
  <si>
    <t>Simone Zaza</t>
  </si>
  <si>
    <t>Ángel</t>
  </si>
  <si>
    <t>Getafe</t>
  </si>
  <si>
    <t>Mikel Oyarzabal</t>
  </si>
  <si>
    <t>Santi Mina</t>
  </si>
  <si>
    <t>Portu</t>
  </si>
  <si>
    <t>Munir</t>
  </si>
  <si>
    <t>Alaves</t>
  </si>
  <si>
    <t>Morales</t>
  </si>
  <si>
    <t>Borja Iglesias</t>
  </si>
  <si>
    <t>Jorge Molina</t>
  </si>
  <si>
    <t>Raúl de Tomás</t>
  </si>
  <si>
    <t>Jaime Mata</t>
  </si>
  <si>
    <t>Iñaki Williams</t>
  </si>
  <si>
    <t>Roger</t>
  </si>
  <si>
    <t>Pablo Sarabia</t>
  </si>
  <si>
    <t>Karl Toko Ekambi</t>
  </si>
  <si>
    <t>Ezequiel Ávila</t>
  </si>
  <si>
    <t>SD Huesca</t>
  </si>
  <si>
    <t>Lucas Ocampos</t>
  </si>
  <si>
    <t>Ante Budimir</t>
  </si>
  <si>
    <t>Mallorca</t>
  </si>
  <si>
    <t>Joselu</t>
  </si>
  <si>
    <t>Carlos Fernández</t>
  </si>
  <si>
    <t>Loren Morón</t>
  </si>
  <si>
    <t>Youssef En-Nesyri</t>
  </si>
  <si>
    <t>Rafa Mir</t>
  </si>
  <si>
    <t>Kike García</t>
  </si>
  <si>
    <t>Vinícius Júnior</t>
  </si>
  <si>
    <t>Enes Ünal</t>
  </si>
  <si>
    <t>Memphis Depay</t>
  </si>
  <si>
    <t>Ángel Correa</t>
  </si>
  <si>
    <t>Gonçalo Guedes</t>
  </si>
  <si>
    <t>Marco Asensio</t>
  </si>
  <si>
    <t>Arnaut Danjuma Groeneveld</t>
  </si>
  <si>
    <t>Robert Lewandowski</t>
  </si>
  <si>
    <t>Vedat Muriqi</t>
  </si>
  <si>
    <t>Valentín Castellanos</t>
  </si>
  <si>
    <t>Alexander Sørloth</t>
  </si>
  <si>
    <t>Gabriel Veiga</t>
  </si>
  <si>
    <t>Martin Braithwaite</t>
  </si>
  <si>
    <t>Artem Dovbyk</t>
  </si>
  <si>
    <t>Jude Bellingham</t>
  </si>
  <si>
    <t>Borja Mayoral</t>
  </si>
  <si>
    <t>Gorka Guruzeta</t>
  </si>
  <si>
    <t>Hugo Duro</t>
  </si>
  <si>
    <t>Myrto Uzuni</t>
  </si>
  <si>
    <t>Rodrygo</t>
  </si>
  <si>
    <t>Kylian Mbappe-Lottin</t>
  </si>
  <si>
    <t>Oihan Sancet</t>
  </si>
  <si>
    <t>Javi Puado</t>
  </si>
  <si>
    <t>Dodi Lukebakio</t>
  </si>
  <si>
    <t>Thierno Barry</t>
  </si>
  <si>
    <t>Mauro Arambarri</t>
  </si>
  <si>
    <t>Ferrán Torres</t>
  </si>
  <si>
    <t>Fabio Silva</t>
  </si>
  <si>
    <t>Alexander Meier</t>
  </si>
  <si>
    <t>Eintracht Frankfurt</t>
  </si>
  <si>
    <t>Bundesliga</t>
  </si>
  <si>
    <t>Bayern Munich</t>
  </si>
  <si>
    <t>Bas Dost</t>
  </si>
  <si>
    <t>Wolfsburg</t>
  </si>
  <si>
    <t>Borussia Dortmund</t>
  </si>
  <si>
    <t>Thomas Müller</t>
  </si>
  <si>
    <t>Franco Di Santo</t>
  </si>
  <si>
    <t>Werder Bremen</t>
  </si>
  <si>
    <t>Karim Bellarabi</t>
  </si>
  <si>
    <t>Bayer Leverkusen</t>
  </si>
  <si>
    <t>Raffael</t>
  </si>
  <si>
    <t>Borussia M.Gladbach</t>
  </si>
  <si>
    <t>Shinji Okazaki</t>
  </si>
  <si>
    <t>Mainz 05</t>
  </si>
  <si>
    <t>Max Kruse</t>
  </si>
  <si>
    <t>Patrick Herrmann</t>
  </si>
  <si>
    <t>Anthony Ujah</t>
  </si>
  <si>
    <t>FC Cologne</t>
  </si>
  <si>
    <t>Raúl Bobadilla</t>
  </si>
  <si>
    <t>Augsburg</t>
  </si>
  <si>
    <t>Haris Seferovic</t>
  </si>
  <si>
    <t>Kevin De Bruyne</t>
  </si>
  <si>
    <t>Chicharito</t>
  </si>
  <si>
    <t>Anthony Modeste</t>
  </si>
  <si>
    <t>Sandro Wagner</t>
  </si>
  <si>
    <t>Darmstadt</t>
  </si>
  <si>
    <t>Salomon Kalou</t>
  </si>
  <si>
    <t>Hertha Berlin</t>
  </si>
  <si>
    <t>Claudio Pizarro</t>
  </si>
  <si>
    <t>Daniel Didavi</t>
  </si>
  <si>
    <t>VfB Stuttgart</t>
  </si>
  <si>
    <t>Marco Reus</t>
  </si>
  <si>
    <t>Klaas-Jan Huntelaar</t>
  </si>
  <si>
    <t>Schalke 04</t>
  </si>
  <si>
    <t>Moritz Hartmann</t>
  </si>
  <si>
    <t>Ingolstadt</t>
  </si>
  <si>
    <t>Yunus Malli</t>
  </si>
  <si>
    <t>Henrikh Mkhitaryan</t>
  </si>
  <si>
    <t>Vedad Ibisevic</t>
  </si>
  <si>
    <t>Timo Werner</t>
  </si>
  <si>
    <t>RasenBallsport Leipzig</t>
  </si>
  <si>
    <t>Mario Gomez</t>
  </si>
  <si>
    <t>Andrej Kramaric</t>
  </si>
  <si>
    <t>Hoffenheim</t>
  </si>
  <si>
    <t>Arjen Robben</t>
  </si>
  <si>
    <t>Lars Stindl</t>
  </si>
  <si>
    <t>Florian Niederlechner</t>
  </si>
  <si>
    <t>Freiburg</t>
  </si>
  <si>
    <t>Serge Gnabry</t>
  </si>
  <si>
    <t>Nils Petersen</t>
  </si>
  <si>
    <t>Kevin Volland</t>
  </si>
  <si>
    <t>Niclas Füllkrug</t>
  </si>
  <si>
    <t>Hannover 96</t>
  </si>
  <si>
    <t>Michael Gregoritsch</t>
  </si>
  <si>
    <t>Bayern Munich,Hoffenheim</t>
  </si>
  <si>
    <t>Alfred Finnbogason</t>
  </si>
  <si>
    <t>Guido Burgstaller</t>
  </si>
  <si>
    <t>Thorgan Hazard</t>
  </si>
  <si>
    <t>Davie Selke</t>
  </si>
  <si>
    <t>Luka Jovic</t>
  </si>
  <si>
    <t>Wout Weghorst</t>
  </si>
  <si>
    <t>Ishak Belfodil</t>
  </si>
  <si>
    <t>Yussuf Poulsen</t>
  </si>
  <si>
    <t>Sébastien Haller</t>
  </si>
  <si>
    <t>Alassane Pléa</t>
  </si>
  <si>
    <t>Fortuna Duesseldorf</t>
  </si>
  <si>
    <t>Benito Raman</t>
  </si>
  <si>
    <t>Jadon Sancho</t>
  </si>
  <si>
    <t>Rouwen Hennings</t>
  </si>
  <si>
    <t>Jhon Córdoba</t>
  </si>
  <si>
    <t>Robin Quaison</t>
  </si>
  <si>
    <t>André Silva</t>
  </si>
  <si>
    <t>Sebastian Andersson</t>
  </si>
  <si>
    <t>Union Berlin</t>
  </si>
  <si>
    <t>Patrik Schick</t>
  </si>
  <si>
    <t>Marcus Thuram</t>
  </si>
  <si>
    <t>Sasa Kalajdzic</t>
  </si>
  <si>
    <t>Lucas Alario</t>
  </si>
  <si>
    <t>Christopher Nkunku</t>
  </si>
  <si>
    <t>Moussa Diaby</t>
  </si>
  <si>
    <t>Union Berlin,Wolfsburg</t>
  </si>
  <si>
    <t>Jonathan Burkardt</t>
  </si>
  <si>
    <t>Sebastian Polter</t>
  </si>
  <si>
    <t>Bochum</t>
  </si>
  <si>
    <t>Vincenzo Grifo</t>
  </si>
  <si>
    <t>Randal Kolo Muani</t>
  </si>
  <si>
    <t>Marvin Ducksch</t>
  </si>
  <si>
    <t>Serhou Guirassy</t>
  </si>
  <si>
    <t>Marius Bülter</t>
  </si>
  <si>
    <t>Sheraldo Becker</t>
  </si>
  <si>
    <t>Eric Maxim Choupo-Moting</t>
  </si>
  <si>
    <t>Karim Onisiwo</t>
  </si>
  <si>
    <t>Marcus Ingvartsen</t>
  </si>
  <si>
    <t>Loïs Openda</t>
  </si>
  <si>
    <t>Deniz Undav</t>
  </si>
  <si>
    <t>Maximilian Beier</t>
  </si>
  <si>
    <t>Ermedin Demirovic</t>
  </si>
  <si>
    <t>Victor Boniface</t>
  </si>
  <si>
    <t>Benjamin Sesko</t>
  </si>
  <si>
    <t>Donyell Malen</t>
  </si>
  <si>
    <t>Borussia Dortmund,Werder Bremen</t>
  </si>
  <si>
    <t>Tim Kleindienst</t>
  </si>
  <si>
    <t>FC Heidenheim</t>
  </si>
  <si>
    <t>Omar Marmoush</t>
  </si>
  <si>
    <t>Jonas Wind</t>
  </si>
  <si>
    <t>Robin Hack</t>
  </si>
  <si>
    <t>Hugo Ekitike</t>
  </si>
  <si>
    <t>Nick Woltemade</t>
  </si>
  <si>
    <t>Shuto Machino</t>
  </si>
  <si>
    <t>Holstein Kiel</t>
  </si>
  <si>
    <t>Florian Wirtz</t>
  </si>
  <si>
    <t>Ritsu Doan</t>
  </si>
  <si>
    <t>Mohammed Amoura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</si>
  <si>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</si>
  <si>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</si>
  <si>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</si>
  <si>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</si>
  <si>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</si>
  <si>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</si>
  <si>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</si>
  <si>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</si>
  <si>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</si>
  <si>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Jérémy Menez</t>
  </si>
  <si>
    <t>AC Milan</t>
  </si>
  <si>
    <t>Manolo Gabbiadini</t>
  </si>
  <si>
    <t>Napoli,Sampdoria</t>
  </si>
  <si>
    <t>Domenico Berardi</t>
  </si>
  <si>
    <t>Sassuolo</t>
  </si>
  <si>
    <t>Antonio Di Natale</t>
  </si>
  <si>
    <t>Udinese</t>
  </si>
  <si>
    <t>Iago Falque</t>
  </si>
  <si>
    <t>Genoa</t>
  </si>
  <si>
    <t>Fabio Quagliarella</t>
  </si>
  <si>
    <t>Torino</t>
  </si>
  <si>
    <t>Paulo Dybala</t>
  </si>
  <si>
    <t>Palermo</t>
  </si>
  <si>
    <t>Miroslav Klose</t>
  </si>
  <si>
    <t>Lazio</t>
  </si>
  <si>
    <t>Cyril Théréau</t>
  </si>
  <si>
    <t>Felipe Anderson</t>
  </si>
  <si>
    <t>Massimo Maccarone</t>
  </si>
  <si>
    <t>Empoli</t>
  </si>
  <si>
    <t>Antonio Candreva</t>
  </si>
  <si>
    <t>Franco Vázquez</t>
  </si>
  <si>
    <t>Leonardo Pavoletti</t>
  </si>
  <si>
    <t>Roma</t>
  </si>
  <si>
    <t>Éder</t>
  </si>
  <si>
    <t>Inter,Sampdoria</t>
  </si>
  <si>
    <t>Andrea Belotti</t>
  </si>
  <si>
    <t>Lorenzo Insigne</t>
  </si>
  <si>
    <t>Nikola Kalinic</t>
  </si>
  <si>
    <t>Fiorentina</t>
  </si>
  <si>
    <t>Alberto Gilardino</t>
  </si>
  <si>
    <t>Edin Dzeko</t>
  </si>
  <si>
    <t>Dries Mertens</t>
  </si>
  <si>
    <t>Ciro Immobile</t>
  </si>
  <si>
    <t>Keita</t>
  </si>
  <si>
    <t>Marco Borriello</t>
  </si>
  <si>
    <t>Cagliari</t>
  </si>
  <si>
    <t>Alejandro Gomez</t>
  </si>
  <si>
    <t>Atalanta</t>
  </si>
  <si>
    <t>José Callejón</t>
  </si>
  <si>
    <t>Diego Falcinelli</t>
  </si>
  <si>
    <t>Crotone,Sassuolo</t>
  </si>
  <si>
    <t>Giovanni Simeone</t>
  </si>
  <si>
    <t>Sampdoria</t>
  </si>
  <si>
    <t>Gregoire Defrel</t>
  </si>
  <si>
    <t>Ivan Perisic</t>
  </si>
  <si>
    <t>Luis Muriel</t>
  </si>
  <si>
    <t>Radja Nainggolan</t>
  </si>
  <si>
    <t>Ilija Nestorovski</t>
  </si>
  <si>
    <t>Federico Bernardeschi</t>
  </si>
  <si>
    <t>Mattia Destro</t>
  </si>
  <si>
    <t>Bologna</t>
  </si>
  <si>
    <t>Duván Zapata</t>
  </si>
  <si>
    <t>Adem Ljajic</t>
  </si>
  <si>
    <t>Roberto Inglese</t>
  </si>
  <si>
    <t>Chievo</t>
  </si>
  <si>
    <t>Khouma Babacar</t>
  </si>
  <si>
    <t>Kevin Lasagna</t>
  </si>
  <si>
    <t>Luis Alberto</t>
  </si>
  <si>
    <t>Josip Ilicic</t>
  </si>
  <si>
    <t>Mirco Antenucci</t>
  </si>
  <si>
    <t>SPAL 2013</t>
  </si>
  <si>
    <t>Simone Verdi</t>
  </si>
  <si>
    <t>Matteo Politano</t>
  </si>
  <si>
    <t>Patrick Cutrone</t>
  </si>
  <si>
    <t>Krzysztof Piatek</t>
  </si>
  <si>
    <t>AC Milan,Genoa</t>
  </si>
  <si>
    <t>Arkadiusz Milik</t>
  </si>
  <si>
    <t>Andrea Petagna</t>
  </si>
  <si>
    <t>Francesco Caputo</t>
  </si>
  <si>
    <t>Stephan El Shaarawy</t>
  </si>
  <si>
    <t>Gervinho</t>
  </si>
  <si>
    <t>Parma Calcio 1913</t>
  </si>
  <si>
    <t>Lautaro Martínez</t>
  </si>
  <si>
    <t>Marco Mancosu</t>
  </si>
  <si>
    <t>Lecce</t>
  </si>
  <si>
    <t>Andreas Cornelius</t>
  </si>
  <si>
    <t>Gianluca Lapadula</t>
  </si>
  <si>
    <t>Ante Rebic</t>
  </si>
  <si>
    <t>Jeremie Boga</t>
  </si>
  <si>
    <t>Dejan Kulusevski</t>
  </si>
  <si>
    <t>Dusan Vlahovic</t>
  </si>
  <si>
    <t>Simy</t>
  </si>
  <si>
    <t>Crotone</t>
  </si>
  <si>
    <t>Hirving Lozano</t>
  </si>
  <si>
    <t>M&amp;#039;Bala Nzola</t>
  </si>
  <si>
    <t>Spezia</t>
  </si>
  <si>
    <t>Victor Osimhen</t>
  </si>
  <si>
    <t>Fiorentina,Juventus</t>
  </si>
  <si>
    <t>Cagliari,Verona</t>
  </si>
  <si>
    <t>Gianluca Scamacca</t>
  </si>
  <si>
    <t>Mario Pasalic</t>
  </si>
  <si>
    <t>Andrea Pinamonti</t>
  </si>
  <si>
    <t>Gianluca Caprari</t>
  </si>
  <si>
    <t>Antonin Barak</t>
  </si>
  <si>
    <t>Sampdoria,Sassuolo</t>
  </si>
  <si>
    <t>Rafael Leão</t>
  </si>
  <si>
    <t>Beto</t>
  </si>
  <si>
    <t>Federico Bonazzoli</t>
  </si>
  <si>
    <t>Salernitana</t>
  </si>
  <si>
    <t>Giacomo Raspadori</t>
  </si>
  <si>
    <t>Boulaye Dia</t>
  </si>
  <si>
    <t>Ademola Lookman</t>
  </si>
  <si>
    <t>Khvicha Kvaratskhelia</t>
  </si>
  <si>
    <t>Riccardo Orsolini</t>
  </si>
  <si>
    <t>Mattia Zaccagni</t>
  </si>
  <si>
    <t>Albert Gudmundsson</t>
  </si>
  <si>
    <t>Atalanta,Torino</t>
  </si>
  <si>
    <t>Christian Pulisic</t>
  </si>
  <si>
    <t>Joshua Zirkzee</t>
  </si>
  <si>
    <t>Teun Koopmeiners</t>
  </si>
  <si>
    <t>Matìas Soulè Malvano</t>
  </si>
  <si>
    <t>Frosinone</t>
  </si>
  <si>
    <t>Charles De Ketelaere</t>
  </si>
  <si>
    <t>Mateo Retegui</t>
  </si>
  <si>
    <t>Moise Kean</t>
  </si>
  <si>
    <t>Lorenzo Lucca</t>
  </si>
  <si>
    <t>Nikola Krstovic</t>
  </si>
  <si>
    <t>Pedro</t>
  </si>
  <si>
    <t>Roberto Piccoli</t>
  </si>
  <si>
    <t>Lyon</t>
  </si>
  <si>
    <t>Ligue_1</t>
  </si>
  <si>
    <t>André-Pierre Gignac</t>
  </si>
  <si>
    <t>Marseille</t>
  </si>
  <si>
    <t>Paris Saint Germain</t>
  </si>
  <si>
    <t>Max Gradel</t>
  </si>
  <si>
    <t>Saint-Etienne</t>
  </si>
  <si>
    <t>Claudio Beauvue</t>
  </si>
  <si>
    <t>Guingamp</t>
  </si>
  <si>
    <t>Diego Rolan</t>
  </si>
  <si>
    <t>Bordeaux</t>
  </si>
  <si>
    <t>Toulouse</t>
  </si>
  <si>
    <t>Nabil Fekir</t>
  </si>
  <si>
    <t>Jordan Ayew</t>
  </si>
  <si>
    <t>Lorient</t>
  </si>
  <si>
    <t>Lucas Barrios</t>
  </si>
  <si>
    <t>Montpellier</t>
  </si>
  <si>
    <t>Christophe Mandanne</t>
  </si>
  <si>
    <t>Carlos Eduardo</t>
  </si>
  <si>
    <t>Nice</t>
  </si>
  <si>
    <t>Mathieu Duhamel</t>
  </si>
  <si>
    <t>Caen,Evian Thonon Gaillard</t>
  </si>
  <si>
    <t>Michy Batshuayi</t>
  </si>
  <si>
    <t>Hatem Ben Arfa</t>
  </si>
  <si>
    <t>Valère Germain</t>
  </si>
  <si>
    <t>Benjamin Moukandjo</t>
  </si>
  <si>
    <t>Ousmane Dembélé</t>
  </si>
  <si>
    <t>Rennes</t>
  </si>
  <si>
    <t>Andy Delort</t>
  </si>
  <si>
    <t>Caen</t>
  </si>
  <si>
    <t>Sofiane Boufal</t>
  </si>
  <si>
    <t>Lille</t>
  </si>
  <si>
    <t>Majeed Waris</t>
  </si>
  <si>
    <t>Ronny Rodelin</t>
  </si>
  <si>
    <t>Caen,Lille</t>
  </si>
  <si>
    <t>Ángel Di María</t>
  </si>
  <si>
    <t>Cheick Diabaté</t>
  </si>
  <si>
    <t>Falcao</t>
  </si>
  <si>
    <t>Monaco</t>
  </si>
  <si>
    <t>Bafétimbi Gomis</t>
  </si>
  <si>
    <t>Florian Thauvin</t>
  </si>
  <si>
    <t>Mario Balotelli</t>
  </si>
  <si>
    <t>Ivan Santini</t>
  </si>
  <si>
    <t>Nicolas de Preville</t>
  </si>
  <si>
    <t>Steve Mounie</t>
  </si>
  <si>
    <t>Emiliano Sala</t>
  </si>
  <si>
    <t>Nantes</t>
  </si>
  <si>
    <t>Jimmy Briand</t>
  </si>
  <si>
    <t>Ryad Boudebouz</t>
  </si>
  <si>
    <t>Lois Diony</t>
  </si>
  <si>
    <t>Dijon</t>
  </si>
  <si>
    <t>Enzo Crivelli</t>
  </si>
  <si>
    <t>SC Bastia</t>
  </si>
  <si>
    <t>Mariano</t>
  </si>
  <si>
    <t>Angers</t>
  </si>
  <si>
    <t>Nolan Roux</t>
  </si>
  <si>
    <t>Metz</t>
  </si>
  <si>
    <t>Bertrand Traoré</t>
  </si>
  <si>
    <t>Monaco,Paris Saint Germain</t>
  </si>
  <si>
    <t>Moussa Konate</t>
  </si>
  <si>
    <t>Amiens</t>
  </si>
  <si>
    <t>Malcom</t>
  </si>
  <si>
    <t>Júlio Tavares</t>
  </si>
  <si>
    <t>Kwon Chang-Hoon</t>
  </si>
  <si>
    <t>Giovanni Sio</t>
  </si>
  <si>
    <t>Benjamin Bourigeaud</t>
  </si>
  <si>
    <t>Moussa Dembele</t>
  </si>
  <si>
    <t>Wahbi Khazri</t>
  </si>
  <si>
    <t>Jonathan Bamba</t>
  </si>
  <si>
    <t>M&amp;#039;Baye Niang</t>
  </si>
  <si>
    <t>Gaetan Laborde</t>
  </si>
  <si>
    <t>Bordeaux,Montpellier</t>
  </si>
  <si>
    <t>Stéphane Bahoken</t>
  </si>
  <si>
    <t>Lebo Mothiba</t>
  </si>
  <si>
    <t>Lille,Strasbourg</t>
  </si>
  <si>
    <t>Remi Oudin</t>
  </si>
  <si>
    <t>Reims</t>
  </si>
  <si>
    <t>Habib Diallo</t>
  </si>
  <si>
    <t>Darío Benedetto</t>
  </si>
  <si>
    <t>Kasper Dolberg</t>
  </si>
  <si>
    <t>Ludovic Ajorque</t>
  </si>
  <si>
    <t>Strasbourg</t>
  </si>
  <si>
    <t>Burak Yilmaz</t>
  </si>
  <si>
    <t>Terem Igobor Moffi</t>
  </si>
  <si>
    <t>Jonathan Christian David</t>
  </si>
  <si>
    <t>Amine Gouiri</t>
  </si>
  <si>
    <t>Hwang Ui-Jo</t>
  </si>
  <si>
    <t>Gaël Kakuta</t>
  </si>
  <si>
    <t>Lens</t>
  </si>
  <si>
    <t>Ludovic Blas</t>
  </si>
  <si>
    <t>Tinotenda Kadewere</t>
  </si>
  <si>
    <t>Martin Terrier</t>
  </si>
  <si>
    <t>Montpellier,Nice</t>
  </si>
  <si>
    <t>Montpellier,Rennes</t>
  </si>
  <si>
    <t>Mohamed Bayo</t>
  </si>
  <si>
    <t>Clermont Foot</t>
  </si>
  <si>
    <t>Dimitri Payet</t>
  </si>
  <si>
    <t>Arnaud Kalimuendo Muinga</t>
  </si>
  <si>
    <t>Lens,Paris Saint Germain</t>
  </si>
  <si>
    <t>Cengiz Ünder</t>
  </si>
  <si>
    <t>Sepe Elye Wahi</t>
  </si>
  <si>
    <t>Folarin Balogun</t>
  </si>
  <si>
    <t>Lorient,Nice</t>
  </si>
  <si>
    <t>Nice,Rennes</t>
  </si>
  <si>
    <t>Breel Embolo</t>
  </si>
  <si>
    <t>Mama Baldé</t>
  </si>
  <si>
    <t>Troyes</t>
  </si>
  <si>
    <t>Thijs Dallinga</t>
  </si>
  <si>
    <t>Grejohn Kyei</t>
  </si>
  <si>
    <t>Jeremy Le Douaron</t>
  </si>
  <si>
    <t>Brest</t>
  </si>
  <si>
    <t>Georges Mikautadze</t>
  </si>
  <si>
    <t>Gonçalo Ramos</t>
  </si>
  <si>
    <t>Takumi Minamino</t>
  </si>
  <si>
    <t>Bradley Barcola</t>
  </si>
  <si>
    <t>Emanuel Emegha</t>
  </si>
  <si>
    <t>Marseille,Rennes</t>
  </si>
  <si>
    <t>Mika Biereth</t>
  </si>
  <si>
    <t>Evann Guessand</t>
  </si>
  <si>
    <t>Lucas Stassin</t>
  </si>
  <si>
    <t>Keito Nakamura</t>
  </si>
  <si>
    <t>Gaetan Perrin</t>
  </si>
  <si>
    <t>Auxerre</t>
  </si>
  <si>
    <t>Hamed Junior Traore</t>
  </si>
  <si>
    <t>Hulk</t>
  </si>
  <si>
    <t>Zenit St. Petersburg</t>
  </si>
  <si>
    <t>RFPL</t>
  </si>
  <si>
    <t>Quincy Promes</t>
  </si>
  <si>
    <t>Spartak Moscow</t>
  </si>
  <si>
    <t>Kevin Kurányi</t>
  </si>
  <si>
    <t>Dinamo Moscow</t>
  </si>
  <si>
    <t>Ahmed Musa</t>
  </si>
  <si>
    <t>CSKA Moscow</t>
  </si>
  <si>
    <t>Igor Portnyagin</t>
  </si>
  <si>
    <t>Rubin Kazan</t>
  </si>
  <si>
    <t>Fedor Smolov</t>
  </si>
  <si>
    <t>FC Krasnodar</t>
  </si>
  <si>
    <t>Artem Dzyuba</t>
  </si>
  <si>
    <t>Lorenzo Melgarejo</t>
  </si>
  <si>
    <t>Kuban Krasnodar,Spartak Moscow</t>
  </si>
  <si>
    <t>Pavel Mamaev</t>
  </si>
  <si>
    <t>Evgeni Lutsenko</t>
  </si>
  <si>
    <t>Mordovya</t>
  </si>
  <si>
    <t>Ari</t>
  </si>
  <si>
    <t>FC Krasnodar,Lokomotiv Moscow</t>
  </si>
  <si>
    <t>Luiz Adriano</t>
  </si>
  <si>
    <t>Aleksandr Kokorin</t>
  </si>
  <si>
    <t>Vitinho</t>
  </si>
  <si>
    <t>Viktor Claesson</t>
  </si>
  <si>
    <t>Fedor Chalov</t>
  </si>
  <si>
    <t>Sardar Azmoun</t>
  </si>
  <si>
    <t>Rubin Kazan,Zenit St. Petersburg</t>
  </si>
  <si>
    <t>Anton Miranchuk</t>
  </si>
  <si>
    <t>Lokomotiv Moscow</t>
  </si>
  <si>
    <t>Sebastián Driussi</t>
  </si>
  <si>
    <t>Zé Luís</t>
  </si>
  <si>
    <t>Arsenal Tula</t>
  </si>
  <si>
    <t>Aleksey Miranchuk</t>
  </si>
  <si>
    <t>Alexander Sobolev</t>
  </si>
  <si>
    <t>Krylya Sovetov Samara,Spartak Moscow</t>
  </si>
  <si>
    <t>Nikola Vlasic</t>
  </si>
  <si>
    <t>Eldor Shomurodov</t>
  </si>
  <si>
    <t>FC Rostov</t>
  </si>
  <si>
    <t>Jordan Larsson</t>
  </si>
  <si>
    <t>Djorde Despotovic</t>
  </si>
  <si>
    <t>Anton Zabolotny</t>
  </si>
  <si>
    <t>PFC Sochi</t>
  </si>
  <si>
    <t>Gamid Agalarov</t>
  </si>
  <si>
    <t>FC Ufa</t>
  </si>
  <si>
    <t>Dmitriy Poloz</t>
  </si>
  <si>
    <t>Mateo Cassierra</t>
  </si>
  <si>
    <t>Dinamo Moscow,Lokomotiv Moscow</t>
  </si>
  <si>
    <t>Eric Bicfalvi</t>
  </si>
  <si>
    <t>Ural</t>
  </si>
  <si>
    <t>Ivan Sergeev</t>
  </si>
  <si>
    <t>Krylya Sovetov Samara,Zenit St. Petersburg</t>
  </si>
  <si>
    <t>Vladimir Sychevoy</t>
  </si>
  <si>
    <t>FC Orenburg,Krylya Sovetov Samara</t>
  </si>
  <si>
    <t>Mohamed Konate</t>
  </si>
  <si>
    <t>FK Akhmat</t>
  </si>
  <si>
    <t>Nikolay Komlichenko</t>
  </si>
  <si>
    <t>Maksim Glushenkov</t>
  </si>
  <si>
    <t>Krylya Sovetov Samara,Lokomotiv Moscow</t>
  </si>
  <si>
    <t>Timur Suleymanov</t>
  </si>
  <si>
    <t>Nizhny Novgorod</t>
  </si>
  <si>
    <t>Konstantin Tyukavin</t>
  </si>
  <si>
    <t>Eduard Spertsyan</t>
  </si>
  <si>
    <t>Mirlind Daku</t>
  </si>
  <si>
    <t>Manfred Ugalde</t>
  </si>
  <si>
    <t>Alexey Batrakov</t>
  </si>
  <si>
    <t>Dmitry Vorobyev</t>
  </si>
  <si>
    <t>Esequiel Barco</t>
  </si>
  <si>
    <t>Iaroslav Gladyshev</t>
  </si>
  <si>
    <t>Juan Manuel Boselli</t>
  </si>
  <si>
    <t>Luciano Gondou</t>
  </si>
  <si>
    <t>Jogador</t>
  </si>
  <si>
    <t>Seasons</t>
  </si>
  <si>
    <t>Goals_tot</t>
  </si>
  <si>
    <t>xG_tot</t>
  </si>
  <si>
    <t>Avg_geo</t>
  </si>
  <si>
    <t>Avg_arit</t>
  </si>
  <si>
    <t>Avg_goal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</si>
</sst>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40"/>
  <sheetViews>
    <sheetView workbookViewId="0">
      <selection activeCell="X155" sqref="X155:X1022"/>
    </sheetView>
  </sheetViews>
  <sheetFormatPr defaultRowHeight="15" x14ac:dyDescent="0.25"/>
  <cols>
    <col min="21" max="21" width="20.7109375" style="1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28</v>
      </c>
      <c r="I2" t="s">
        <v>29</v>
      </c>
      <c r="J2">
        <v>0</v>
      </c>
      <c r="K2">
        <v>148</v>
      </c>
      <c r="L2" t="s">
        <v>30</v>
      </c>
      <c r="M2">
        <v>2551</v>
      </c>
      <c r="N2">
        <v>5.568926602602005</v>
      </c>
      <c r="O2">
        <v>25.270175583660599</v>
      </c>
      <c r="P2">
        <v>6.8781697079539299</v>
      </c>
      <c r="Q2">
        <v>27.805153466761109</v>
      </c>
      <c r="R2">
        <v>4</v>
      </c>
      <c r="S2" t="s">
        <v>31</v>
      </c>
      <c r="T2">
        <v>2014</v>
      </c>
      <c r="U2" s="1">
        <v>45901.600802198707</v>
      </c>
      <c r="V2" t="s">
        <v>32</v>
      </c>
      <c r="W2" t="s">
        <v>33</v>
      </c>
      <c r="X2">
        <v>1.0288808605196751</v>
      </c>
      <c r="Y2">
        <v>1.014336212471693</v>
      </c>
      <c r="Z2">
        <v>0.72982441633939743</v>
      </c>
      <c r="AA2">
        <v>5.2214817718541751</v>
      </c>
      <c r="AB2">
        <v>0.89153892690296122</v>
      </c>
    </row>
    <row r="3" spans="1:28" x14ac:dyDescent="0.25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34</v>
      </c>
      <c r="I3" t="s">
        <v>35</v>
      </c>
      <c r="J3">
        <v>0</v>
      </c>
      <c r="K3">
        <v>112</v>
      </c>
      <c r="L3" t="s">
        <v>36</v>
      </c>
      <c r="M3">
        <v>2589</v>
      </c>
      <c r="N3">
        <v>3.922502458095551</v>
      </c>
      <c r="O3">
        <v>17.157300345599651</v>
      </c>
      <c r="P3">
        <v>5.5496987085789442</v>
      </c>
      <c r="Q3">
        <v>16.488434943370521</v>
      </c>
      <c r="R3">
        <v>4</v>
      </c>
      <c r="S3" t="s">
        <v>31</v>
      </c>
      <c r="T3">
        <v>2014</v>
      </c>
      <c r="U3" s="1">
        <v>45901.600802198707</v>
      </c>
      <c r="V3" t="s">
        <v>32</v>
      </c>
      <c r="W3" t="s">
        <v>33</v>
      </c>
      <c r="X3">
        <v>1.2239687816262941</v>
      </c>
      <c r="Y3">
        <v>1.2774120564355831</v>
      </c>
      <c r="Z3">
        <v>3.8426996544003491</v>
      </c>
      <c r="AA3">
        <v>3.893395133256083</v>
      </c>
      <c r="AB3">
        <v>0.59642990772652327</v>
      </c>
    </row>
    <row r="4" spans="1:28" x14ac:dyDescent="0.25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14.457944065332409</v>
      </c>
      <c r="H4" t="s">
        <v>37</v>
      </c>
      <c r="I4" t="s">
        <v>29</v>
      </c>
      <c r="J4">
        <v>0</v>
      </c>
      <c r="K4">
        <v>76</v>
      </c>
      <c r="L4" t="s">
        <v>38</v>
      </c>
      <c r="M4">
        <v>2111</v>
      </c>
      <c r="N4">
        <v>4.5546706160530448</v>
      </c>
      <c r="O4">
        <v>15.219113081693649</v>
      </c>
      <c r="P4">
        <v>5.2769727390259504</v>
      </c>
      <c r="Q4">
        <v>21.365789726376541</v>
      </c>
      <c r="R4">
        <v>8</v>
      </c>
      <c r="S4" t="s">
        <v>31</v>
      </c>
      <c r="T4">
        <v>2014</v>
      </c>
      <c r="U4" s="1">
        <v>45901.600802198707</v>
      </c>
      <c r="V4" t="s">
        <v>32</v>
      </c>
      <c r="W4" t="s">
        <v>33</v>
      </c>
      <c r="X4">
        <v>1.3141370257677529</v>
      </c>
      <c r="Y4">
        <v>1.3141564190691979</v>
      </c>
      <c r="Z4">
        <v>4.7808869183063507</v>
      </c>
      <c r="AA4">
        <v>3.2401705352913308</v>
      </c>
      <c r="AB4">
        <v>0.64884897079698178</v>
      </c>
    </row>
    <row r="5" spans="1:28" x14ac:dyDescent="0.25">
      <c r="A5">
        <v>5</v>
      </c>
      <c r="B5">
        <v>35</v>
      </c>
      <c r="C5">
        <v>18</v>
      </c>
      <c r="D5">
        <v>848</v>
      </c>
      <c r="E5">
        <v>23</v>
      </c>
      <c r="F5">
        <v>15</v>
      </c>
      <c r="G5">
        <v>14.076048335060481</v>
      </c>
      <c r="H5" t="s">
        <v>39</v>
      </c>
      <c r="I5" t="s">
        <v>32</v>
      </c>
      <c r="J5">
        <v>1</v>
      </c>
      <c r="K5">
        <v>131</v>
      </c>
      <c r="L5" t="s">
        <v>40</v>
      </c>
      <c r="M5">
        <v>3078</v>
      </c>
      <c r="N5">
        <v>2.548745959065855</v>
      </c>
      <c r="O5">
        <v>17.88185734860599</v>
      </c>
      <c r="P5">
        <v>3.0413201358169322</v>
      </c>
      <c r="Q5">
        <v>13.718284981325271</v>
      </c>
      <c r="R5">
        <v>4</v>
      </c>
      <c r="S5" t="s">
        <v>31</v>
      </c>
      <c r="T5">
        <v>2014</v>
      </c>
      <c r="U5" s="1">
        <v>45901.600802198707</v>
      </c>
      <c r="V5" t="s">
        <v>32</v>
      </c>
      <c r="W5" t="s">
        <v>33</v>
      </c>
      <c r="X5">
        <v>1.006606844529113</v>
      </c>
      <c r="Y5">
        <v>1.0656399895017521</v>
      </c>
      <c r="Z5">
        <v>0.1181426513940096</v>
      </c>
      <c r="AA5">
        <v>3.8304093567251458</v>
      </c>
      <c r="AB5">
        <v>0.52286132598263124</v>
      </c>
    </row>
    <row r="6" spans="1:28" x14ac:dyDescent="0.25">
      <c r="A6">
        <v>8</v>
      </c>
      <c r="B6">
        <v>35</v>
      </c>
      <c r="C6">
        <v>16</v>
      </c>
      <c r="D6">
        <v>498</v>
      </c>
      <c r="E6">
        <v>82</v>
      </c>
      <c r="F6">
        <v>16</v>
      </c>
      <c r="G6">
        <v>12.690581277944149</v>
      </c>
      <c r="H6" t="s">
        <v>41</v>
      </c>
      <c r="I6" t="s">
        <v>35</v>
      </c>
      <c r="J6">
        <v>0</v>
      </c>
      <c r="K6">
        <v>122</v>
      </c>
      <c r="L6" t="s">
        <v>42</v>
      </c>
      <c r="M6">
        <v>2967</v>
      </c>
      <c r="N6">
        <v>8.4941808730363846</v>
      </c>
      <c r="O6">
        <v>13.451748237945139</v>
      </c>
      <c r="P6">
        <v>10.73675676807761</v>
      </c>
      <c r="Q6">
        <v>27.15757017582655</v>
      </c>
      <c r="R6">
        <v>4</v>
      </c>
      <c r="S6" t="s">
        <v>31</v>
      </c>
      <c r="T6">
        <v>2014</v>
      </c>
      <c r="U6" s="1">
        <v>45901.600802198707</v>
      </c>
      <c r="V6" t="s">
        <v>32</v>
      </c>
      <c r="W6" t="s">
        <v>33</v>
      </c>
      <c r="X6">
        <v>1.189436474499773</v>
      </c>
      <c r="Y6">
        <v>1.260777552231396</v>
      </c>
      <c r="Z6">
        <v>2.548251762054861</v>
      </c>
      <c r="AA6">
        <v>3.700707785642062</v>
      </c>
      <c r="AB6">
        <v>0.40804089700541368</v>
      </c>
    </row>
    <row r="7" spans="1:28" x14ac:dyDescent="0.25">
      <c r="A7">
        <v>3</v>
      </c>
      <c r="B7">
        <v>27</v>
      </c>
      <c r="C7">
        <v>14</v>
      </c>
      <c r="D7">
        <v>502</v>
      </c>
      <c r="E7">
        <v>29</v>
      </c>
      <c r="F7">
        <v>14</v>
      </c>
      <c r="G7">
        <v>8.8463442996144295</v>
      </c>
      <c r="H7" t="s">
        <v>43</v>
      </c>
      <c r="I7" t="s">
        <v>29</v>
      </c>
      <c r="J7">
        <v>1</v>
      </c>
      <c r="K7">
        <v>70</v>
      </c>
      <c r="L7" t="s">
        <v>42</v>
      </c>
      <c r="M7">
        <v>1871</v>
      </c>
      <c r="N7">
        <v>3.8601363133639102</v>
      </c>
      <c r="O7">
        <v>8.8463442996144295</v>
      </c>
      <c r="P7">
        <v>4.1292465925216684</v>
      </c>
      <c r="Q7">
        <v>13.639886705204839</v>
      </c>
      <c r="R7">
        <v>5</v>
      </c>
      <c r="S7" t="s">
        <v>31</v>
      </c>
      <c r="T7">
        <v>2014</v>
      </c>
      <c r="U7" s="1">
        <v>45901.600802198707</v>
      </c>
      <c r="V7" t="s">
        <v>32</v>
      </c>
      <c r="W7" t="s">
        <v>33</v>
      </c>
      <c r="X7">
        <v>1.5825746235775831</v>
      </c>
      <c r="Y7">
        <v>1.5825746235775831</v>
      </c>
      <c r="Z7">
        <v>5.1536557003855714</v>
      </c>
      <c r="AA7">
        <v>3.367183324425441</v>
      </c>
      <c r="AB7">
        <v>0.42553232868268243</v>
      </c>
    </row>
    <row r="8" spans="1:28" x14ac:dyDescent="0.25">
      <c r="A8">
        <v>1</v>
      </c>
      <c r="B8">
        <v>38</v>
      </c>
      <c r="C8">
        <v>14</v>
      </c>
      <c r="D8">
        <v>811</v>
      </c>
      <c r="E8">
        <v>28</v>
      </c>
      <c r="F8">
        <v>10</v>
      </c>
      <c r="G8">
        <v>10.79711232986301</v>
      </c>
      <c r="H8" t="s">
        <v>44</v>
      </c>
      <c r="I8" t="s">
        <v>35</v>
      </c>
      <c r="J8">
        <v>0</v>
      </c>
      <c r="K8">
        <v>86</v>
      </c>
      <c r="L8" t="s">
        <v>45</v>
      </c>
      <c r="M8">
        <v>2940</v>
      </c>
      <c r="N8">
        <v>1.961659412831068</v>
      </c>
      <c r="O8">
        <v>13.841749838553371</v>
      </c>
      <c r="P8">
        <v>2.439554900862277</v>
      </c>
      <c r="Q8">
        <v>11.907299553975459</v>
      </c>
      <c r="R8">
        <v>2</v>
      </c>
      <c r="S8" t="s">
        <v>31</v>
      </c>
      <c r="T8">
        <v>2014</v>
      </c>
      <c r="U8" s="1">
        <v>45901.600802198707</v>
      </c>
      <c r="V8" t="s">
        <v>32</v>
      </c>
      <c r="W8" t="s">
        <v>33</v>
      </c>
      <c r="X8">
        <v>1.0114328147302489</v>
      </c>
      <c r="Y8">
        <v>0.92617356330929967</v>
      </c>
      <c r="Z8">
        <v>0.1582501614466327</v>
      </c>
      <c r="AA8">
        <v>2.6326530612244898</v>
      </c>
      <c r="AB8">
        <v>0.42372703587408272</v>
      </c>
    </row>
    <row r="9" spans="1:28" x14ac:dyDescent="0.25">
      <c r="A9">
        <v>2</v>
      </c>
      <c r="B9">
        <v>29</v>
      </c>
      <c r="C9">
        <v>13</v>
      </c>
      <c r="D9">
        <v>606</v>
      </c>
      <c r="E9">
        <v>33</v>
      </c>
      <c r="F9">
        <v>12</v>
      </c>
      <c r="G9">
        <v>7.6939069516956806</v>
      </c>
      <c r="H9" t="s">
        <v>46</v>
      </c>
      <c r="I9" t="s">
        <v>29</v>
      </c>
      <c r="J9">
        <v>1</v>
      </c>
      <c r="K9">
        <v>80</v>
      </c>
      <c r="L9" t="s">
        <v>47</v>
      </c>
      <c r="M9">
        <v>2380</v>
      </c>
      <c r="N9">
        <v>2.9213200705125928</v>
      </c>
      <c r="O9">
        <v>8.4550759680569172</v>
      </c>
      <c r="P9">
        <v>2.1986089982092381</v>
      </c>
      <c r="Q9">
        <v>8.7254001814872026</v>
      </c>
      <c r="R9">
        <v>1</v>
      </c>
      <c r="S9" t="s">
        <v>31</v>
      </c>
      <c r="T9">
        <v>2014</v>
      </c>
      <c r="U9" s="1">
        <v>45901.600802198707</v>
      </c>
      <c r="V9" t="s">
        <v>32</v>
      </c>
      <c r="W9" t="s">
        <v>33</v>
      </c>
      <c r="X9">
        <v>1.537537929773038</v>
      </c>
      <c r="Y9">
        <v>1.5596757376114729</v>
      </c>
      <c r="Z9">
        <v>4.5449240319430828</v>
      </c>
      <c r="AA9">
        <v>3.0252100840336129</v>
      </c>
      <c r="AB9">
        <v>0.31972976349795068</v>
      </c>
    </row>
    <row r="10" spans="1:28" x14ac:dyDescent="0.25">
      <c r="A10">
        <v>5</v>
      </c>
      <c r="B10">
        <v>33</v>
      </c>
      <c r="C10">
        <v>12</v>
      </c>
      <c r="D10">
        <v>629</v>
      </c>
      <c r="E10">
        <v>45</v>
      </c>
      <c r="F10">
        <v>11</v>
      </c>
      <c r="G10">
        <v>7.3797623217105857</v>
      </c>
      <c r="H10" t="s">
        <v>48</v>
      </c>
      <c r="I10" t="s">
        <v>49</v>
      </c>
      <c r="J10">
        <v>1</v>
      </c>
      <c r="K10">
        <v>79</v>
      </c>
      <c r="L10" t="s">
        <v>50</v>
      </c>
      <c r="M10">
        <v>2887</v>
      </c>
      <c r="N10">
        <v>3.9835597351193428</v>
      </c>
      <c r="O10">
        <v>8.9020985811948776</v>
      </c>
      <c r="P10">
        <v>7.2957022963091731</v>
      </c>
      <c r="Q10">
        <v>15.435746841132641</v>
      </c>
      <c r="R10">
        <v>5</v>
      </c>
      <c r="S10" t="s">
        <v>31</v>
      </c>
      <c r="T10">
        <v>2014</v>
      </c>
      <c r="U10" s="1">
        <v>45901.600802198707</v>
      </c>
      <c r="V10" t="s">
        <v>32</v>
      </c>
      <c r="W10" t="s">
        <v>33</v>
      </c>
      <c r="X10">
        <v>1.347996754984184</v>
      </c>
      <c r="Y10">
        <v>1.49056290981608</v>
      </c>
      <c r="Z10">
        <v>3.0979014188051219</v>
      </c>
      <c r="AA10">
        <v>2.4627641149982682</v>
      </c>
      <c r="AB10">
        <v>0.27751606245498411</v>
      </c>
    </row>
    <row r="11" spans="1:28" x14ac:dyDescent="0.25">
      <c r="A11">
        <v>2</v>
      </c>
      <c r="B11">
        <v>38</v>
      </c>
      <c r="C11">
        <v>12</v>
      </c>
      <c r="D11">
        <v>841</v>
      </c>
      <c r="E11">
        <v>43</v>
      </c>
      <c r="F11">
        <v>12</v>
      </c>
      <c r="G11">
        <v>18.616504695266489</v>
      </c>
      <c r="H11" t="s">
        <v>51</v>
      </c>
      <c r="I11" t="s">
        <v>29</v>
      </c>
      <c r="J11">
        <v>0</v>
      </c>
      <c r="K11">
        <v>123</v>
      </c>
      <c r="L11" t="s">
        <v>52</v>
      </c>
      <c r="M11">
        <v>3291</v>
      </c>
      <c r="N11">
        <v>4.4816234214231372</v>
      </c>
      <c r="O11">
        <v>18.616504695266489</v>
      </c>
      <c r="P11">
        <v>5.5981659553945056</v>
      </c>
      <c r="Q11">
        <v>24.78565558232367</v>
      </c>
      <c r="R11">
        <v>6</v>
      </c>
      <c r="S11" t="s">
        <v>31</v>
      </c>
      <c r="T11">
        <v>2014</v>
      </c>
      <c r="U11" s="1">
        <v>45901.600802198707</v>
      </c>
      <c r="V11" t="s">
        <v>32</v>
      </c>
      <c r="W11" t="s">
        <v>33</v>
      </c>
      <c r="X11">
        <v>0.64458931450494961</v>
      </c>
      <c r="Y11">
        <v>0.64458931450494961</v>
      </c>
      <c r="Z11">
        <v>-6.6165046952664852</v>
      </c>
      <c r="AA11">
        <v>3.3637192342752971</v>
      </c>
      <c r="AB11">
        <v>0.50911134080035969</v>
      </c>
    </row>
    <row r="12" spans="1:28" x14ac:dyDescent="0.25">
      <c r="A12">
        <v>3</v>
      </c>
      <c r="B12">
        <v>30</v>
      </c>
      <c r="C12">
        <v>11</v>
      </c>
      <c r="D12">
        <v>622</v>
      </c>
      <c r="E12">
        <v>26</v>
      </c>
      <c r="F12">
        <v>10</v>
      </c>
      <c r="G12">
        <v>9.6935703232884407</v>
      </c>
      <c r="H12" t="s">
        <v>53</v>
      </c>
      <c r="I12" t="s">
        <v>29</v>
      </c>
      <c r="J12">
        <v>1</v>
      </c>
      <c r="K12">
        <v>89</v>
      </c>
      <c r="L12" t="s">
        <v>54</v>
      </c>
      <c r="M12">
        <v>1604</v>
      </c>
      <c r="N12">
        <v>3.508293155580759</v>
      </c>
      <c r="O12">
        <v>10.45473881438374</v>
      </c>
      <c r="P12">
        <v>4.4124255664646634</v>
      </c>
      <c r="Q12">
        <v>14.252219166606659</v>
      </c>
      <c r="R12">
        <v>3</v>
      </c>
      <c r="S12" t="s">
        <v>31</v>
      </c>
      <c r="T12">
        <v>2014</v>
      </c>
      <c r="U12" s="1">
        <v>45901.600802198707</v>
      </c>
      <c r="V12" t="s">
        <v>32</v>
      </c>
      <c r="W12" t="s">
        <v>33</v>
      </c>
      <c r="X12">
        <v>1.052154453142921</v>
      </c>
      <c r="Y12">
        <v>1.0316116422011581</v>
      </c>
      <c r="Z12">
        <v>0.54526118561625658</v>
      </c>
      <c r="AA12">
        <v>4.9937655860349128</v>
      </c>
      <c r="AB12">
        <v>0.58661252699160649</v>
      </c>
    </row>
    <row r="13" spans="1:28" x14ac:dyDescent="0.25">
      <c r="A13">
        <v>3</v>
      </c>
      <c r="B13">
        <v>37</v>
      </c>
      <c r="C13">
        <v>11</v>
      </c>
      <c r="D13">
        <v>756</v>
      </c>
      <c r="E13">
        <v>36</v>
      </c>
      <c r="F13">
        <v>9</v>
      </c>
      <c r="G13">
        <v>7.4015799537301064</v>
      </c>
      <c r="H13" t="s">
        <v>55</v>
      </c>
      <c r="I13" t="s">
        <v>29</v>
      </c>
      <c r="J13">
        <v>0</v>
      </c>
      <c r="K13">
        <v>49</v>
      </c>
      <c r="L13" t="s">
        <v>56</v>
      </c>
      <c r="M13">
        <v>2434</v>
      </c>
      <c r="N13">
        <v>3.7919961232691999</v>
      </c>
      <c r="O13">
        <v>8.9239178970456123</v>
      </c>
      <c r="P13">
        <v>2.509369770996273</v>
      </c>
      <c r="Q13">
        <v>9.9630165891721845</v>
      </c>
      <c r="R13">
        <v>3</v>
      </c>
      <c r="S13" t="s">
        <v>31</v>
      </c>
      <c r="T13">
        <v>2014</v>
      </c>
      <c r="U13" s="1">
        <v>45901.600802198707</v>
      </c>
      <c r="V13" t="s">
        <v>32</v>
      </c>
      <c r="W13" t="s">
        <v>33</v>
      </c>
      <c r="X13">
        <v>1.232642447734946</v>
      </c>
      <c r="Y13">
        <v>1.2159566006531279</v>
      </c>
      <c r="Z13">
        <v>2.0760821029543881</v>
      </c>
      <c r="AA13">
        <v>1.811832374691865</v>
      </c>
      <c r="AB13">
        <v>0.32997231336651811</v>
      </c>
    </row>
    <row r="14" spans="1:28" x14ac:dyDescent="0.25">
      <c r="A14">
        <v>1</v>
      </c>
      <c r="B14">
        <v>22</v>
      </c>
      <c r="C14">
        <v>11</v>
      </c>
      <c r="D14">
        <v>850</v>
      </c>
      <c r="E14">
        <v>7</v>
      </c>
      <c r="F14">
        <v>10</v>
      </c>
      <c r="G14">
        <v>8.1960087418556213</v>
      </c>
      <c r="H14" t="s">
        <v>57</v>
      </c>
      <c r="I14" t="s">
        <v>29</v>
      </c>
      <c r="J14">
        <v>0</v>
      </c>
      <c r="K14">
        <v>45</v>
      </c>
      <c r="L14" t="s">
        <v>58</v>
      </c>
      <c r="M14">
        <v>1137</v>
      </c>
      <c r="N14">
        <v>0.33467789180576801</v>
      </c>
      <c r="O14">
        <v>8.9571407437324524</v>
      </c>
      <c r="P14">
        <v>0.61673820950090885</v>
      </c>
      <c r="Q14">
        <v>7.444709463045001</v>
      </c>
      <c r="R14">
        <v>1</v>
      </c>
      <c r="S14" t="s">
        <v>31</v>
      </c>
      <c r="T14">
        <v>2014</v>
      </c>
      <c r="U14" s="1">
        <v>45901.600802198707</v>
      </c>
      <c r="V14" t="s">
        <v>32</v>
      </c>
      <c r="W14" t="s">
        <v>33</v>
      </c>
      <c r="X14">
        <v>1.228070465198059</v>
      </c>
      <c r="Y14">
        <v>1.220106068083078</v>
      </c>
      <c r="Z14">
        <v>2.0428592562675481</v>
      </c>
      <c r="AA14">
        <v>3.5620052770448551</v>
      </c>
      <c r="AB14">
        <v>0.70900850214241051</v>
      </c>
    </row>
    <row r="15" spans="1:28" x14ac:dyDescent="0.25">
      <c r="A15">
        <v>3</v>
      </c>
      <c r="B15">
        <v>34</v>
      </c>
      <c r="C15">
        <v>11</v>
      </c>
      <c r="D15">
        <v>868</v>
      </c>
      <c r="E15">
        <v>28</v>
      </c>
      <c r="F15">
        <v>11</v>
      </c>
      <c r="G15">
        <v>11.6469683246687</v>
      </c>
      <c r="H15" t="s">
        <v>59</v>
      </c>
      <c r="I15" t="s">
        <v>35</v>
      </c>
      <c r="J15">
        <v>0</v>
      </c>
      <c r="K15">
        <v>55</v>
      </c>
      <c r="L15" t="s">
        <v>60</v>
      </c>
      <c r="M15">
        <v>2451</v>
      </c>
      <c r="N15">
        <v>3.4661412425339222</v>
      </c>
      <c r="O15">
        <v>11.6469683246687</v>
      </c>
      <c r="P15">
        <v>0.86198460590094328</v>
      </c>
      <c r="Q15">
        <v>13.59963181149214</v>
      </c>
      <c r="R15">
        <v>7</v>
      </c>
      <c r="S15" t="s">
        <v>31</v>
      </c>
      <c r="T15">
        <v>2014</v>
      </c>
      <c r="U15" s="1">
        <v>45901.600802198707</v>
      </c>
      <c r="V15" t="s">
        <v>32</v>
      </c>
      <c r="W15" t="s">
        <v>33</v>
      </c>
      <c r="X15">
        <v>0.94445178293321175</v>
      </c>
      <c r="Y15">
        <v>0.94445178293321175</v>
      </c>
      <c r="Z15">
        <v>-0.64696832466870369</v>
      </c>
      <c r="AA15">
        <v>2.019583843329253</v>
      </c>
      <c r="AB15">
        <v>0.42767325549579083</v>
      </c>
    </row>
    <row r="16" spans="1:28" x14ac:dyDescent="0.25">
      <c r="A16">
        <v>4</v>
      </c>
      <c r="B16">
        <v>35</v>
      </c>
      <c r="C16">
        <v>11</v>
      </c>
      <c r="D16">
        <v>986</v>
      </c>
      <c r="E16">
        <v>35</v>
      </c>
      <c r="F16">
        <v>10</v>
      </c>
      <c r="G16">
        <v>11.52833949029446</v>
      </c>
      <c r="H16" t="s">
        <v>61</v>
      </c>
      <c r="I16" t="s">
        <v>49</v>
      </c>
      <c r="J16">
        <v>0</v>
      </c>
      <c r="K16">
        <v>97</v>
      </c>
      <c r="L16" t="s">
        <v>62</v>
      </c>
      <c r="M16">
        <v>3048</v>
      </c>
      <c r="N16">
        <v>4.2443250454962254</v>
      </c>
      <c r="O16">
        <v>12.28950844705105</v>
      </c>
      <c r="P16">
        <v>2.8256575232371688</v>
      </c>
      <c r="Q16">
        <v>16.558702621608969</v>
      </c>
      <c r="R16">
        <v>6</v>
      </c>
      <c r="S16" t="s">
        <v>31</v>
      </c>
      <c r="T16">
        <v>2014</v>
      </c>
      <c r="U16" s="1">
        <v>45901.600802198707</v>
      </c>
      <c r="V16" t="s">
        <v>32</v>
      </c>
      <c r="W16" t="s">
        <v>33</v>
      </c>
      <c r="X16">
        <v>0.89507241460414355</v>
      </c>
      <c r="Y16">
        <v>0.86742761248650391</v>
      </c>
      <c r="Z16">
        <v>-1.2895084470510481</v>
      </c>
      <c r="AA16">
        <v>2.8641732283464569</v>
      </c>
      <c r="AB16">
        <v>0.36287918642867267</v>
      </c>
    </row>
    <row r="17" spans="1:28" x14ac:dyDescent="0.25">
      <c r="A17">
        <v>5</v>
      </c>
      <c r="B17">
        <v>36</v>
      </c>
      <c r="C17">
        <v>10</v>
      </c>
      <c r="D17">
        <v>594</v>
      </c>
      <c r="E17">
        <v>37</v>
      </c>
      <c r="F17">
        <v>8</v>
      </c>
      <c r="G17">
        <v>10.90853328630328</v>
      </c>
      <c r="H17" t="s">
        <v>63</v>
      </c>
      <c r="I17" t="s">
        <v>29</v>
      </c>
      <c r="J17">
        <v>0</v>
      </c>
      <c r="K17">
        <v>105</v>
      </c>
      <c r="L17" t="s">
        <v>64</v>
      </c>
      <c r="M17">
        <v>2880</v>
      </c>
      <c r="N17">
        <v>2.350205228663981</v>
      </c>
      <c r="O17">
        <v>12.430796798318619</v>
      </c>
      <c r="P17">
        <v>5.078922200948</v>
      </c>
      <c r="Q17">
        <v>15.74380802549422</v>
      </c>
      <c r="R17">
        <v>1</v>
      </c>
      <c r="S17" t="s">
        <v>31</v>
      </c>
      <c r="T17">
        <v>2014</v>
      </c>
      <c r="U17" s="1">
        <v>45901.600802198707</v>
      </c>
      <c r="V17" t="s">
        <v>32</v>
      </c>
      <c r="W17" t="s">
        <v>33</v>
      </c>
      <c r="X17">
        <v>0.80445366151851094</v>
      </c>
      <c r="Y17">
        <v>0.7333708198924207</v>
      </c>
      <c r="Z17">
        <v>-2.4307967983186241</v>
      </c>
      <c r="AA17">
        <v>3.28125</v>
      </c>
      <c r="AB17">
        <v>0.38846239994745702</v>
      </c>
    </row>
    <row r="18" spans="1:28" x14ac:dyDescent="0.25">
      <c r="A18">
        <v>2</v>
      </c>
      <c r="B18">
        <v>23</v>
      </c>
      <c r="C18">
        <v>10</v>
      </c>
      <c r="D18">
        <v>656</v>
      </c>
      <c r="E18">
        <v>23</v>
      </c>
      <c r="F18">
        <v>10</v>
      </c>
      <c r="G18">
        <v>9.0703797908499837</v>
      </c>
      <c r="H18" t="s">
        <v>65</v>
      </c>
      <c r="I18" t="s">
        <v>35</v>
      </c>
      <c r="J18">
        <v>0</v>
      </c>
      <c r="K18">
        <v>66</v>
      </c>
      <c r="L18" t="s">
        <v>66</v>
      </c>
      <c r="M18">
        <v>1765</v>
      </c>
      <c r="N18">
        <v>2.615855161100626</v>
      </c>
      <c r="O18">
        <v>9.0703797908499837</v>
      </c>
      <c r="P18">
        <v>0.91281777992844582</v>
      </c>
      <c r="Q18">
        <v>9.0836181081831455</v>
      </c>
      <c r="R18">
        <v>2</v>
      </c>
      <c r="S18" t="s">
        <v>31</v>
      </c>
      <c r="T18">
        <v>2014</v>
      </c>
      <c r="U18" s="1">
        <v>45901.600802198707</v>
      </c>
      <c r="V18" t="s">
        <v>32</v>
      </c>
      <c r="W18" t="s">
        <v>33</v>
      </c>
      <c r="X18">
        <v>1.10248966753165</v>
      </c>
      <c r="Y18">
        <v>1.10248966753165</v>
      </c>
      <c r="Z18">
        <v>0.92962020915001631</v>
      </c>
      <c r="AA18">
        <v>3.3654390934844192</v>
      </c>
      <c r="AB18">
        <v>0.46251228395269028</v>
      </c>
    </row>
    <row r="19" spans="1:28" x14ac:dyDescent="0.25">
      <c r="A19">
        <v>3</v>
      </c>
      <c r="B19">
        <v>30</v>
      </c>
      <c r="C19">
        <v>10</v>
      </c>
      <c r="D19">
        <v>838</v>
      </c>
      <c r="E19">
        <v>40</v>
      </c>
      <c r="F19">
        <v>10</v>
      </c>
      <c r="G19">
        <v>8.5539753716439009</v>
      </c>
      <c r="H19" t="s">
        <v>67</v>
      </c>
      <c r="I19" t="s">
        <v>35</v>
      </c>
      <c r="J19">
        <v>0</v>
      </c>
      <c r="K19">
        <v>60</v>
      </c>
      <c r="L19" t="s">
        <v>52</v>
      </c>
      <c r="M19">
        <v>2142</v>
      </c>
      <c r="N19">
        <v>3.9824801292270422</v>
      </c>
      <c r="O19">
        <v>8.5539753716439009</v>
      </c>
      <c r="P19">
        <v>4.0329897087067366</v>
      </c>
      <c r="Q19">
        <v>14.56727853417396</v>
      </c>
      <c r="R19">
        <v>5</v>
      </c>
      <c r="S19" t="s">
        <v>31</v>
      </c>
      <c r="T19">
        <v>2014</v>
      </c>
      <c r="U19" s="1">
        <v>45901.600802198707</v>
      </c>
      <c r="V19" t="s">
        <v>32</v>
      </c>
      <c r="W19" t="s">
        <v>33</v>
      </c>
      <c r="X19">
        <v>1.1690470881117589</v>
      </c>
      <c r="Y19">
        <v>1.1690470881117589</v>
      </c>
      <c r="Z19">
        <v>1.4460246283560989</v>
      </c>
      <c r="AA19">
        <v>2.521008403361344</v>
      </c>
      <c r="AB19">
        <v>0.35941072990100431</v>
      </c>
    </row>
    <row r="20" spans="1:28" x14ac:dyDescent="0.25">
      <c r="A20">
        <v>2</v>
      </c>
      <c r="B20">
        <v>27</v>
      </c>
      <c r="C20">
        <v>10</v>
      </c>
      <c r="D20">
        <v>4387</v>
      </c>
      <c r="E20">
        <v>27</v>
      </c>
      <c r="F20">
        <v>9</v>
      </c>
      <c r="G20">
        <v>10.081136059015989</v>
      </c>
      <c r="H20" t="s">
        <v>68</v>
      </c>
      <c r="I20" t="s">
        <v>29</v>
      </c>
      <c r="J20">
        <v>0</v>
      </c>
      <c r="K20">
        <v>76</v>
      </c>
      <c r="L20" t="s">
        <v>50</v>
      </c>
      <c r="M20">
        <v>2126</v>
      </c>
      <c r="N20">
        <v>2.986051762476563</v>
      </c>
      <c r="O20">
        <v>11.6034690849483</v>
      </c>
      <c r="P20">
        <v>1.6887294165790081</v>
      </c>
      <c r="Q20">
        <v>12.917516451328989</v>
      </c>
      <c r="R20">
        <v>5</v>
      </c>
      <c r="S20" t="s">
        <v>31</v>
      </c>
      <c r="T20">
        <v>2014</v>
      </c>
      <c r="U20" s="1">
        <v>45901.600802198707</v>
      </c>
      <c r="V20" t="s">
        <v>32</v>
      </c>
      <c r="W20" t="s">
        <v>33</v>
      </c>
      <c r="X20">
        <v>0.86181123307095497</v>
      </c>
      <c r="Y20">
        <v>0.89275652538692962</v>
      </c>
      <c r="Z20">
        <v>-1.6034690849483</v>
      </c>
      <c r="AA20">
        <v>3.2173095014111008</v>
      </c>
      <c r="AB20">
        <v>0.49120988600439652</v>
      </c>
    </row>
    <row r="21" spans="1:28" x14ac:dyDescent="0.25">
      <c r="A21">
        <v>1</v>
      </c>
      <c r="B21">
        <v>38</v>
      </c>
      <c r="C21">
        <v>25</v>
      </c>
      <c r="D21">
        <v>647</v>
      </c>
      <c r="E21">
        <v>44</v>
      </c>
      <c r="F21">
        <v>20</v>
      </c>
      <c r="G21">
        <v>18.926258180290461</v>
      </c>
      <c r="H21" t="s">
        <v>34</v>
      </c>
      <c r="I21" t="s">
        <v>32</v>
      </c>
      <c r="J21">
        <v>0</v>
      </c>
      <c r="K21">
        <v>159</v>
      </c>
      <c r="L21" t="s">
        <v>36</v>
      </c>
      <c r="M21">
        <v>3382</v>
      </c>
      <c r="N21">
        <v>3.0885122008621688</v>
      </c>
      <c r="O21">
        <v>22.732071943581101</v>
      </c>
      <c r="P21">
        <v>8.1890304274857044</v>
      </c>
      <c r="Q21">
        <v>26.939670216292139</v>
      </c>
      <c r="R21">
        <v>5</v>
      </c>
      <c r="S21" t="s">
        <v>31</v>
      </c>
      <c r="T21">
        <v>2015</v>
      </c>
      <c r="U21" s="1">
        <v>45901.600802198707</v>
      </c>
      <c r="V21" t="s">
        <v>32</v>
      </c>
      <c r="W21" t="s">
        <v>69</v>
      </c>
      <c r="X21">
        <v>1.099767766970283</v>
      </c>
      <c r="Y21">
        <v>1.056732916220477</v>
      </c>
      <c r="Z21">
        <v>2.2679280564188962</v>
      </c>
      <c r="AA21">
        <v>4.231224127735068</v>
      </c>
      <c r="AB21">
        <v>0.6049339074282376</v>
      </c>
    </row>
    <row r="22" spans="1:28" x14ac:dyDescent="0.25">
      <c r="A22">
        <v>2</v>
      </c>
      <c r="B22">
        <v>30</v>
      </c>
      <c r="C22">
        <v>24</v>
      </c>
      <c r="D22">
        <v>619</v>
      </c>
      <c r="E22">
        <v>27</v>
      </c>
      <c r="F22">
        <v>20</v>
      </c>
      <c r="G22">
        <v>16.271372936666008</v>
      </c>
      <c r="H22" t="s">
        <v>28</v>
      </c>
      <c r="I22" t="s">
        <v>29</v>
      </c>
      <c r="J22">
        <v>0</v>
      </c>
      <c r="K22">
        <v>119</v>
      </c>
      <c r="L22" t="s">
        <v>30</v>
      </c>
      <c r="M22">
        <v>2399</v>
      </c>
      <c r="N22">
        <v>2.0287595679983501</v>
      </c>
      <c r="O22">
        <v>20.077226005494591</v>
      </c>
      <c r="P22">
        <v>3.9259592220187192</v>
      </c>
      <c r="Q22">
        <v>18.786800522357229</v>
      </c>
      <c r="R22">
        <v>1</v>
      </c>
      <c r="S22" t="s">
        <v>31</v>
      </c>
      <c r="T22">
        <v>2015</v>
      </c>
      <c r="U22" s="1">
        <v>45901.600802198707</v>
      </c>
      <c r="V22" t="s">
        <v>32</v>
      </c>
      <c r="W22" t="s">
        <v>69</v>
      </c>
      <c r="X22">
        <v>1.195384262419114</v>
      </c>
      <c r="Y22">
        <v>1.22915257844849</v>
      </c>
      <c r="Z22">
        <v>3.922773994505405</v>
      </c>
      <c r="AA22">
        <v>4.4643601500625261</v>
      </c>
      <c r="AB22">
        <v>0.75320981262797571</v>
      </c>
    </row>
    <row r="23" spans="1:28" x14ac:dyDescent="0.25">
      <c r="A23">
        <v>6</v>
      </c>
      <c r="B23">
        <v>36</v>
      </c>
      <c r="C23">
        <v>24</v>
      </c>
      <c r="D23">
        <v>755</v>
      </c>
      <c r="E23">
        <v>48</v>
      </c>
      <c r="F23">
        <v>19</v>
      </c>
      <c r="G23">
        <v>17.568440221250061</v>
      </c>
      <c r="H23" t="s">
        <v>70</v>
      </c>
      <c r="I23" t="s">
        <v>32</v>
      </c>
      <c r="J23">
        <v>1</v>
      </c>
      <c r="K23">
        <v>115</v>
      </c>
      <c r="L23" t="s">
        <v>56</v>
      </c>
      <c r="M23">
        <v>3154</v>
      </c>
      <c r="N23">
        <v>6.2671534586697817</v>
      </c>
      <c r="O23">
        <v>22.135411933064461</v>
      </c>
      <c r="P23">
        <v>2.8863563239574428</v>
      </c>
      <c r="Q23">
        <v>24.595974551513791</v>
      </c>
      <c r="R23">
        <v>5</v>
      </c>
      <c r="S23" t="s">
        <v>31</v>
      </c>
      <c r="T23">
        <v>2015</v>
      </c>
      <c r="U23" s="1">
        <v>45901.600802198707</v>
      </c>
      <c r="V23" t="s">
        <v>32</v>
      </c>
      <c r="W23" t="s">
        <v>69</v>
      </c>
      <c r="X23">
        <v>1.08423552597864</v>
      </c>
      <c r="Y23">
        <v>1.081484739721992</v>
      </c>
      <c r="Z23">
        <v>1.864588066935539</v>
      </c>
      <c r="AA23">
        <v>3.2815472415979712</v>
      </c>
      <c r="AB23">
        <v>0.63163826061376072</v>
      </c>
    </row>
    <row r="24" spans="1:28" x14ac:dyDescent="0.25">
      <c r="A24">
        <v>6</v>
      </c>
      <c r="B24">
        <v>37</v>
      </c>
      <c r="C24">
        <v>18</v>
      </c>
      <c r="D24">
        <v>594</v>
      </c>
      <c r="E24">
        <v>51</v>
      </c>
      <c r="F24">
        <v>17</v>
      </c>
      <c r="G24">
        <v>18.5364780370146</v>
      </c>
      <c r="H24" t="s">
        <v>63</v>
      </c>
      <c r="I24" t="s">
        <v>29</v>
      </c>
      <c r="J24">
        <v>0</v>
      </c>
      <c r="K24">
        <v>118</v>
      </c>
      <c r="L24" t="s">
        <v>64</v>
      </c>
      <c r="M24">
        <v>3194</v>
      </c>
      <c r="N24">
        <v>5.6804335005581379</v>
      </c>
      <c r="O24">
        <v>20.058772021904591</v>
      </c>
      <c r="P24">
        <v>7.6348413228988647</v>
      </c>
      <c r="Q24">
        <v>24.024904146790501</v>
      </c>
      <c r="R24">
        <v>3</v>
      </c>
      <c r="S24" t="s">
        <v>31</v>
      </c>
      <c r="T24">
        <v>2015</v>
      </c>
      <c r="U24" s="1">
        <v>45901.600802198707</v>
      </c>
      <c r="V24" t="s">
        <v>32</v>
      </c>
      <c r="W24" t="s">
        <v>69</v>
      </c>
      <c r="X24">
        <v>0.89736300808163294</v>
      </c>
      <c r="Y24">
        <v>0.91711057332754986</v>
      </c>
      <c r="Z24">
        <v>-2.0587720219045882</v>
      </c>
      <c r="AA24">
        <v>3.3249843456480899</v>
      </c>
      <c r="AB24">
        <v>0.56521273699793773</v>
      </c>
    </row>
    <row r="25" spans="1:28" x14ac:dyDescent="0.25">
      <c r="A25">
        <v>6</v>
      </c>
      <c r="B25">
        <v>38</v>
      </c>
      <c r="C25">
        <v>16</v>
      </c>
      <c r="D25">
        <v>502</v>
      </c>
      <c r="E25">
        <v>36</v>
      </c>
      <c r="F25">
        <v>15</v>
      </c>
      <c r="G25">
        <v>13.7428224440664</v>
      </c>
      <c r="H25" t="s">
        <v>43</v>
      </c>
      <c r="I25" t="s">
        <v>29</v>
      </c>
      <c r="J25">
        <v>0</v>
      </c>
      <c r="K25">
        <v>101</v>
      </c>
      <c r="L25" t="s">
        <v>42</v>
      </c>
      <c r="M25">
        <v>2411</v>
      </c>
      <c r="N25">
        <v>5.7622197195887566</v>
      </c>
      <c r="O25">
        <v>14.50399146042764</v>
      </c>
      <c r="P25">
        <v>6.9157735537737608</v>
      </c>
      <c r="Q25">
        <v>18.88522942177952</v>
      </c>
      <c r="R25">
        <v>2</v>
      </c>
      <c r="S25" t="s">
        <v>31</v>
      </c>
      <c r="T25">
        <v>2015</v>
      </c>
      <c r="U25" s="1">
        <v>45901.600802198707</v>
      </c>
      <c r="V25" t="s">
        <v>32</v>
      </c>
      <c r="W25" t="s">
        <v>69</v>
      </c>
      <c r="X25">
        <v>1.103144609789245</v>
      </c>
      <c r="Y25">
        <v>1.09147884730741</v>
      </c>
      <c r="Z25">
        <v>1.4960085395723579</v>
      </c>
      <c r="AA25">
        <v>3.7702198257984239</v>
      </c>
      <c r="AB25">
        <v>0.5414181797753993</v>
      </c>
    </row>
    <row r="26" spans="1:28" x14ac:dyDescent="0.25">
      <c r="A26">
        <v>3</v>
      </c>
      <c r="B26">
        <v>37</v>
      </c>
      <c r="C26">
        <v>15</v>
      </c>
      <c r="D26">
        <v>573</v>
      </c>
      <c r="E26">
        <v>37</v>
      </c>
      <c r="F26">
        <v>15</v>
      </c>
      <c r="G26">
        <v>16.093822445720431</v>
      </c>
      <c r="H26" t="s">
        <v>71</v>
      </c>
      <c r="I26" t="s">
        <v>35</v>
      </c>
      <c r="J26">
        <v>0</v>
      </c>
      <c r="K26">
        <v>109</v>
      </c>
      <c r="L26" t="s">
        <v>72</v>
      </c>
      <c r="M26">
        <v>3160</v>
      </c>
      <c r="N26">
        <v>2.2321918215602641</v>
      </c>
      <c r="O26">
        <v>16.093822445720431</v>
      </c>
      <c r="P26">
        <v>2.7645926093682651</v>
      </c>
      <c r="Q26">
        <v>18.002249501645569</v>
      </c>
      <c r="R26">
        <v>4</v>
      </c>
      <c r="S26" t="s">
        <v>31</v>
      </c>
      <c r="T26">
        <v>2015</v>
      </c>
      <c r="U26" s="1">
        <v>45901.600802198707</v>
      </c>
      <c r="V26" t="s">
        <v>32</v>
      </c>
      <c r="W26" t="s">
        <v>69</v>
      </c>
      <c r="X26">
        <v>0.93203463941462228</v>
      </c>
      <c r="Y26">
        <v>0.93203463941462228</v>
      </c>
      <c r="Z26">
        <v>-1.093822445720434</v>
      </c>
      <c r="AA26">
        <v>3.104430379746836</v>
      </c>
      <c r="AB26">
        <v>0.45836836079583509</v>
      </c>
    </row>
    <row r="27" spans="1:28" x14ac:dyDescent="0.25">
      <c r="A27">
        <v>1</v>
      </c>
      <c r="B27">
        <v>33</v>
      </c>
      <c r="C27">
        <v>15</v>
      </c>
      <c r="D27">
        <v>735</v>
      </c>
      <c r="E27">
        <v>22</v>
      </c>
      <c r="F27">
        <v>14</v>
      </c>
      <c r="G27">
        <v>10.95145048946142</v>
      </c>
      <c r="H27" t="s">
        <v>73</v>
      </c>
      <c r="I27" t="s">
        <v>35</v>
      </c>
      <c r="J27">
        <v>0</v>
      </c>
      <c r="K27">
        <v>85</v>
      </c>
      <c r="L27" t="s">
        <v>74</v>
      </c>
      <c r="M27">
        <v>2558</v>
      </c>
      <c r="N27">
        <v>1.102266452275217</v>
      </c>
      <c r="O27">
        <v>11.71262045949698</v>
      </c>
      <c r="P27">
        <v>1.326958082616329</v>
      </c>
      <c r="Q27">
        <v>12.263893619179729</v>
      </c>
      <c r="R27">
        <v>3</v>
      </c>
      <c r="S27" t="s">
        <v>31</v>
      </c>
      <c r="T27">
        <v>2015</v>
      </c>
      <c r="U27" s="1">
        <v>45901.600802198707</v>
      </c>
      <c r="V27" t="s">
        <v>32</v>
      </c>
      <c r="W27" t="s">
        <v>69</v>
      </c>
      <c r="X27">
        <v>1.2806698596501951</v>
      </c>
      <c r="Y27">
        <v>1.278369473840218</v>
      </c>
      <c r="Z27">
        <v>3.2873795405030228</v>
      </c>
      <c r="AA27">
        <v>2.9906176700547298</v>
      </c>
      <c r="AB27">
        <v>0.41209376128019082</v>
      </c>
    </row>
    <row r="28" spans="1:28" x14ac:dyDescent="0.25">
      <c r="A28">
        <v>7</v>
      </c>
      <c r="B28">
        <v>38</v>
      </c>
      <c r="C28">
        <v>13</v>
      </c>
      <c r="D28">
        <v>574</v>
      </c>
      <c r="E28">
        <v>56</v>
      </c>
      <c r="F28">
        <v>7</v>
      </c>
      <c r="G28">
        <v>6.8709652265533796</v>
      </c>
      <c r="H28" t="s">
        <v>75</v>
      </c>
      <c r="I28" t="s">
        <v>35</v>
      </c>
      <c r="J28">
        <v>0</v>
      </c>
      <c r="K28">
        <v>94</v>
      </c>
      <c r="L28" t="s">
        <v>72</v>
      </c>
      <c r="M28">
        <v>3291</v>
      </c>
      <c r="N28">
        <v>7.9233300257474184</v>
      </c>
      <c r="O28">
        <v>12.19915143586695</v>
      </c>
      <c r="P28">
        <v>3.9903321322053671</v>
      </c>
      <c r="Q28">
        <v>15.77673406153917</v>
      </c>
      <c r="R28">
        <v>6</v>
      </c>
      <c r="S28" t="s">
        <v>31</v>
      </c>
      <c r="T28">
        <v>2015</v>
      </c>
      <c r="U28" s="1">
        <v>45901.600802198707</v>
      </c>
      <c r="V28" t="s">
        <v>32</v>
      </c>
      <c r="W28" t="s">
        <v>69</v>
      </c>
      <c r="X28">
        <v>1.0656478910310481</v>
      </c>
      <c r="Y28">
        <v>1.018779715686517</v>
      </c>
      <c r="Z28">
        <v>0.80084856413304806</v>
      </c>
      <c r="AA28">
        <v>2.570647219690064</v>
      </c>
      <c r="AB28">
        <v>0.33361398639563222</v>
      </c>
    </row>
    <row r="29" spans="1:28" x14ac:dyDescent="0.25">
      <c r="A29">
        <v>2</v>
      </c>
      <c r="B29">
        <v>34</v>
      </c>
      <c r="C29">
        <v>12</v>
      </c>
      <c r="D29">
        <v>713</v>
      </c>
      <c r="E29">
        <v>23</v>
      </c>
      <c r="F29">
        <v>12</v>
      </c>
      <c r="G29">
        <v>8.4629630874842405</v>
      </c>
      <c r="H29" t="s">
        <v>76</v>
      </c>
      <c r="I29" t="s">
        <v>49</v>
      </c>
      <c r="J29">
        <v>0</v>
      </c>
      <c r="K29">
        <v>67</v>
      </c>
      <c r="L29" t="s">
        <v>77</v>
      </c>
      <c r="M29">
        <v>2967</v>
      </c>
      <c r="N29">
        <v>2.337733743712306</v>
      </c>
      <c r="O29">
        <v>8.4629630874842405</v>
      </c>
      <c r="P29">
        <v>3.830336672253905</v>
      </c>
      <c r="Q29">
        <v>12.21597940847278</v>
      </c>
      <c r="R29">
        <v>5</v>
      </c>
      <c r="S29" t="s">
        <v>31</v>
      </c>
      <c r="T29">
        <v>2015</v>
      </c>
      <c r="U29" s="1">
        <v>45901.600802198707</v>
      </c>
      <c r="V29" t="s">
        <v>32</v>
      </c>
      <c r="W29" t="s">
        <v>69</v>
      </c>
      <c r="X29">
        <v>1.4179430863578539</v>
      </c>
      <c r="Y29">
        <v>1.4179430863578539</v>
      </c>
      <c r="Z29">
        <v>3.537036912515759</v>
      </c>
      <c r="AA29">
        <v>2.0323559150657231</v>
      </c>
      <c r="AB29">
        <v>0.25671273268405181</v>
      </c>
    </row>
    <row r="30" spans="1:28" x14ac:dyDescent="0.25">
      <c r="A30">
        <v>6</v>
      </c>
      <c r="B30">
        <v>28</v>
      </c>
      <c r="C30">
        <v>12</v>
      </c>
      <c r="D30">
        <v>802</v>
      </c>
      <c r="E30">
        <v>30</v>
      </c>
      <c r="F30">
        <v>12</v>
      </c>
      <c r="G30">
        <v>12.08056135103106</v>
      </c>
      <c r="H30" t="s">
        <v>37</v>
      </c>
      <c r="I30" t="s">
        <v>29</v>
      </c>
      <c r="J30">
        <v>0</v>
      </c>
      <c r="K30">
        <v>68</v>
      </c>
      <c r="L30" t="s">
        <v>38</v>
      </c>
      <c r="M30">
        <v>2386</v>
      </c>
      <c r="N30">
        <v>2.8887833151966329</v>
      </c>
      <c r="O30">
        <v>12.08056135103106</v>
      </c>
      <c r="P30">
        <v>5.2906770929694176</v>
      </c>
      <c r="Q30">
        <v>18.07463388890028</v>
      </c>
      <c r="R30">
        <v>8</v>
      </c>
      <c r="S30" t="s">
        <v>31</v>
      </c>
      <c r="T30">
        <v>2015</v>
      </c>
      <c r="U30" s="1">
        <v>45901.600802198707</v>
      </c>
      <c r="V30" t="s">
        <v>32</v>
      </c>
      <c r="W30" t="s">
        <v>69</v>
      </c>
      <c r="X30">
        <v>0.99333132387724787</v>
      </c>
      <c r="Y30">
        <v>0.99333132387724787</v>
      </c>
      <c r="Z30">
        <v>-8.0561351031063211E-2</v>
      </c>
      <c r="AA30">
        <v>2.5649622799664709</v>
      </c>
      <c r="AB30">
        <v>0.45567917920905099</v>
      </c>
    </row>
    <row r="31" spans="1:28" x14ac:dyDescent="0.25">
      <c r="A31">
        <v>4</v>
      </c>
      <c r="B31">
        <v>31</v>
      </c>
      <c r="C31">
        <v>11</v>
      </c>
      <c r="D31">
        <v>553</v>
      </c>
      <c r="E31">
        <v>37</v>
      </c>
      <c r="F31">
        <v>11</v>
      </c>
      <c r="G31">
        <v>7.2735410779714584</v>
      </c>
      <c r="H31" t="s">
        <v>78</v>
      </c>
      <c r="I31" t="s">
        <v>35</v>
      </c>
      <c r="J31">
        <v>0</v>
      </c>
      <c r="K31">
        <v>57</v>
      </c>
      <c r="L31" t="s">
        <v>50</v>
      </c>
      <c r="M31">
        <v>2632</v>
      </c>
      <c r="N31">
        <v>6.1733274403959513</v>
      </c>
      <c r="O31">
        <v>7.2735410779714584</v>
      </c>
      <c r="P31">
        <v>5.8901663813740024</v>
      </c>
      <c r="Q31">
        <v>15.577425617724661</v>
      </c>
      <c r="R31">
        <v>2</v>
      </c>
      <c r="S31" t="s">
        <v>31</v>
      </c>
      <c r="T31">
        <v>2015</v>
      </c>
      <c r="U31" s="1">
        <v>45901.600802198707</v>
      </c>
      <c r="V31" t="s">
        <v>32</v>
      </c>
      <c r="W31" t="s">
        <v>69</v>
      </c>
      <c r="X31">
        <v>1.5123307728768369</v>
      </c>
      <c r="Y31">
        <v>1.5123307728768369</v>
      </c>
      <c r="Z31">
        <v>3.726458922028542</v>
      </c>
      <c r="AA31">
        <v>1.949088145896656</v>
      </c>
      <c r="AB31">
        <v>0.24871531041695721</v>
      </c>
    </row>
    <row r="32" spans="1:28" x14ac:dyDescent="0.25">
      <c r="A32">
        <v>3</v>
      </c>
      <c r="B32">
        <v>36</v>
      </c>
      <c r="C32">
        <v>11</v>
      </c>
      <c r="D32">
        <v>714</v>
      </c>
      <c r="E32">
        <v>57</v>
      </c>
      <c r="F32">
        <v>8</v>
      </c>
      <c r="G32">
        <v>5.4271430782973766</v>
      </c>
      <c r="H32" t="s">
        <v>79</v>
      </c>
      <c r="I32" t="s">
        <v>35</v>
      </c>
      <c r="J32">
        <v>0</v>
      </c>
      <c r="K32">
        <v>88</v>
      </c>
      <c r="L32" t="s">
        <v>77</v>
      </c>
      <c r="M32">
        <v>2921</v>
      </c>
      <c r="N32">
        <v>5.4298290954902768</v>
      </c>
      <c r="O32">
        <v>7.7106501162052146</v>
      </c>
      <c r="P32">
        <v>4.8843971025198698</v>
      </c>
      <c r="Q32">
        <v>10.766502927988769</v>
      </c>
      <c r="R32">
        <v>6</v>
      </c>
      <c r="S32" t="s">
        <v>31</v>
      </c>
      <c r="T32">
        <v>2015</v>
      </c>
      <c r="U32" s="1">
        <v>45901.600802198707</v>
      </c>
      <c r="V32" t="s">
        <v>32</v>
      </c>
      <c r="W32" t="s">
        <v>69</v>
      </c>
      <c r="X32">
        <v>1.4265982549100069</v>
      </c>
      <c r="Y32">
        <v>1.474072064175207</v>
      </c>
      <c r="Z32">
        <v>3.289349883794785</v>
      </c>
      <c r="AA32">
        <v>2.711400205409106</v>
      </c>
      <c r="AB32">
        <v>0.23757566260132459</v>
      </c>
    </row>
    <row r="33" spans="1:28" x14ac:dyDescent="0.25">
      <c r="A33">
        <v>6</v>
      </c>
      <c r="B33">
        <v>37</v>
      </c>
      <c r="C33">
        <v>11</v>
      </c>
      <c r="D33">
        <v>838</v>
      </c>
      <c r="E33">
        <v>41</v>
      </c>
      <c r="F33">
        <v>11</v>
      </c>
      <c r="G33">
        <v>11.75339928455651</v>
      </c>
      <c r="H33" t="s">
        <v>67</v>
      </c>
      <c r="I33" t="s">
        <v>35</v>
      </c>
      <c r="J33">
        <v>2</v>
      </c>
      <c r="K33">
        <v>86</v>
      </c>
      <c r="L33" t="s">
        <v>52</v>
      </c>
      <c r="M33">
        <v>2614</v>
      </c>
      <c r="N33">
        <v>5.1392490174621344</v>
      </c>
      <c r="O33">
        <v>12.514568300917739</v>
      </c>
      <c r="P33">
        <v>5.3739927494898438</v>
      </c>
      <c r="Q33">
        <v>17.62727028131485</v>
      </c>
      <c r="R33">
        <v>4</v>
      </c>
      <c r="S33" t="s">
        <v>31</v>
      </c>
      <c r="T33">
        <v>2015</v>
      </c>
      <c r="U33" s="1">
        <v>45901.600802198707</v>
      </c>
      <c r="V33" t="s">
        <v>32</v>
      </c>
      <c r="W33" t="s">
        <v>69</v>
      </c>
      <c r="X33">
        <v>0.87897558553364763</v>
      </c>
      <c r="Y33">
        <v>0.93589945629206661</v>
      </c>
      <c r="Z33">
        <v>-1.5145683009177451</v>
      </c>
      <c r="AA33">
        <v>2.96097934200459</v>
      </c>
      <c r="AB33">
        <v>0.43087649085026669</v>
      </c>
    </row>
    <row r="34" spans="1:28" x14ac:dyDescent="0.25">
      <c r="A34">
        <v>6</v>
      </c>
      <c r="B34">
        <v>30</v>
      </c>
      <c r="C34">
        <v>11</v>
      </c>
      <c r="D34">
        <v>841</v>
      </c>
      <c r="E34">
        <v>37</v>
      </c>
      <c r="F34">
        <v>11</v>
      </c>
      <c r="G34">
        <v>7.3501809928566217</v>
      </c>
      <c r="H34" t="s">
        <v>51</v>
      </c>
      <c r="I34" t="s">
        <v>29</v>
      </c>
      <c r="J34">
        <v>0</v>
      </c>
      <c r="K34">
        <v>80</v>
      </c>
      <c r="L34" t="s">
        <v>52</v>
      </c>
      <c r="M34">
        <v>2167</v>
      </c>
      <c r="N34">
        <v>3.9873566851019859</v>
      </c>
      <c r="O34">
        <v>7.3501809928566217</v>
      </c>
      <c r="P34">
        <v>3.8928181966766719</v>
      </c>
      <c r="Q34">
        <v>13.01347171328962</v>
      </c>
      <c r="R34">
        <v>6</v>
      </c>
      <c r="S34" t="s">
        <v>31</v>
      </c>
      <c r="T34">
        <v>2015</v>
      </c>
      <c r="U34" s="1">
        <v>45901.600802198707</v>
      </c>
      <c r="V34" t="s">
        <v>32</v>
      </c>
      <c r="W34" t="s">
        <v>69</v>
      </c>
      <c r="X34">
        <v>1.496561786803686</v>
      </c>
      <c r="Y34">
        <v>1.496561786803686</v>
      </c>
      <c r="Z34">
        <v>3.6498190071433778</v>
      </c>
      <c r="AA34">
        <v>3.3225657591139819</v>
      </c>
      <c r="AB34">
        <v>0.30526824612694792</v>
      </c>
    </row>
    <row r="35" spans="1:28" x14ac:dyDescent="0.25">
      <c r="A35">
        <v>6</v>
      </c>
      <c r="B35">
        <v>34</v>
      </c>
      <c r="C35">
        <v>11</v>
      </c>
      <c r="D35">
        <v>865</v>
      </c>
      <c r="E35">
        <v>50</v>
      </c>
      <c r="F35">
        <v>8</v>
      </c>
      <c r="G35">
        <v>9.7756876181811094</v>
      </c>
      <c r="H35" t="s">
        <v>80</v>
      </c>
      <c r="I35" t="s">
        <v>35</v>
      </c>
      <c r="J35">
        <v>0</v>
      </c>
      <c r="K35">
        <v>70</v>
      </c>
      <c r="L35" t="s">
        <v>60</v>
      </c>
      <c r="M35">
        <v>2836</v>
      </c>
      <c r="N35">
        <v>6.1176179996691644</v>
      </c>
      <c r="O35">
        <v>12.059158718213441</v>
      </c>
      <c r="P35">
        <v>6.8158945888280869</v>
      </c>
      <c r="Q35">
        <v>18.740881614387039</v>
      </c>
      <c r="R35">
        <v>2</v>
      </c>
      <c r="S35" t="s">
        <v>31</v>
      </c>
      <c r="T35">
        <v>2015</v>
      </c>
      <c r="U35" s="1">
        <v>45901.600802198707</v>
      </c>
      <c r="V35" t="s">
        <v>32</v>
      </c>
      <c r="W35" t="s">
        <v>69</v>
      </c>
      <c r="X35">
        <v>0.9121697671485367</v>
      </c>
      <c r="Y35">
        <v>0.81835675529579799</v>
      </c>
      <c r="Z35">
        <v>-1.059158718213441</v>
      </c>
      <c r="AA35">
        <v>2.2214386459802542</v>
      </c>
      <c r="AB35">
        <v>0.38269544592355781</v>
      </c>
    </row>
    <row r="36" spans="1:28" x14ac:dyDescent="0.25">
      <c r="A36">
        <v>7</v>
      </c>
      <c r="B36">
        <v>31</v>
      </c>
      <c r="C36">
        <v>10</v>
      </c>
      <c r="D36">
        <v>482</v>
      </c>
      <c r="E36">
        <v>49</v>
      </c>
      <c r="F36">
        <v>10</v>
      </c>
      <c r="G36">
        <v>7.1310254614800206</v>
      </c>
      <c r="H36" t="s">
        <v>81</v>
      </c>
      <c r="I36" t="s">
        <v>35</v>
      </c>
      <c r="J36">
        <v>0</v>
      </c>
      <c r="K36">
        <v>63</v>
      </c>
      <c r="L36" t="s">
        <v>82</v>
      </c>
      <c r="M36">
        <v>2005</v>
      </c>
      <c r="N36">
        <v>5.3966775089502326</v>
      </c>
      <c r="O36">
        <v>7.1310254614800206</v>
      </c>
      <c r="P36">
        <v>6.8297262620180854</v>
      </c>
      <c r="Q36">
        <v>16.39877096191049</v>
      </c>
      <c r="R36">
        <v>1</v>
      </c>
      <c r="S36" t="s">
        <v>31</v>
      </c>
      <c r="T36">
        <v>2015</v>
      </c>
      <c r="U36" s="1">
        <v>45901.600802198707</v>
      </c>
      <c r="V36" t="s">
        <v>32</v>
      </c>
      <c r="W36" t="s">
        <v>69</v>
      </c>
      <c r="X36">
        <v>1.402322857212815</v>
      </c>
      <c r="Y36">
        <v>1.402322857212815</v>
      </c>
      <c r="Z36">
        <v>2.868974538519979</v>
      </c>
      <c r="AA36">
        <v>2.827930174563591</v>
      </c>
      <c r="AB36">
        <v>0.32009590600159699</v>
      </c>
    </row>
    <row r="37" spans="1:28" x14ac:dyDescent="0.25">
      <c r="A37">
        <v>4</v>
      </c>
      <c r="B37">
        <v>28</v>
      </c>
      <c r="C37">
        <v>10</v>
      </c>
      <c r="D37">
        <v>839</v>
      </c>
      <c r="E37">
        <v>33</v>
      </c>
      <c r="F37">
        <v>10</v>
      </c>
      <c r="G37">
        <v>10.617394125089049</v>
      </c>
      <c r="H37" t="s">
        <v>83</v>
      </c>
      <c r="I37" t="s">
        <v>35</v>
      </c>
      <c r="J37">
        <v>0</v>
      </c>
      <c r="K37">
        <v>64</v>
      </c>
      <c r="L37" t="s">
        <v>52</v>
      </c>
      <c r="M37">
        <v>2114</v>
      </c>
      <c r="N37">
        <v>2.7126416452229019</v>
      </c>
      <c r="O37">
        <v>10.617394125089049</v>
      </c>
      <c r="P37">
        <v>3.4208338242024179</v>
      </c>
      <c r="Q37">
        <v>13.091042907908561</v>
      </c>
      <c r="R37">
        <v>2</v>
      </c>
      <c r="S37" t="s">
        <v>31</v>
      </c>
      <c r="T37">
        <v>2015</v>
      </c>
      <c r="U37" s="1">
        <v>45901.600802198707</v>
      </c>
      <c r="V37" t="s">
        <v>32</v>
      </c>
      <c r="W37" t="s">
        <v>69</v>
      </c>
      <c r="X37">
        <v>0.94185069162779422</v>
      </c>
      <c r="Y37">
        <v>0.94185069162779422</v>
      </c>
      <c r="Z37">
        <v>-0.61739412508904934</v>
      </c>
      <c r="AA37">
        <v>2.7246925260170292</v>
      </c>
      <c r="AB37">
        <v>0.4520177252876133</v>
      </c>
    </row>
    <row r="38" spans="1:28" x14ac:dyDescent="0.25">
      <c r="A38">
        <v>7</v>
      </c>
      <c r="B38">
        <v>30</v>
      </c>
      <c r="C38">
        <v>29</v>
      </c>
      <c r="D38">
        <v>647</v>
      </c>
      <c r="E38">
        <v>41</v>
      </c>
      <c r="F38">
        <v>24</v>
      </c>
      <c r="G38">
        <v>15.25308254733682</v>
      </c>
      <c r="H38" t="s">
        <v>34</v>
      </c>
      <c r="I38" t="s">
        <v>35</v>
      </c>
      <c r="J38">
        <v>0</v>
      </c>
      <c r="K38">
        <v>110</v>
      </c>
      <c r="L38" t="s">
        <v>36</v>
      </c>
      <c r="M38">
        <v>2556</v>
      </c>
      <c r="N38">
        <v>5.5538936406373978</v>
      </c>
      <c r="O38">
        <v>19.820082779973749</v>
      </c>
      <c r="P38">
        <v>4.1260013151913881</v>
      </c>
      <c r="Q38">
        <v>21.947204602882259</v>
      </c>
      <c r="R38">
        <v>3</v>
      </c>
      <c r="S38" t="s">
        <v>31</v>
      </c>
      <c r="T38">
        <v>2016</v>
      </c>
      <c r="U38" s="1">
        <v>45901.600802198707</v>
      </c>
      <c r="V38" t="s">
        <v>32</v>
      </c>
      <c r="W38" t="s">
        <v>84</v>
      </c>
      <c r="X38">
        <v>1.4631624056233341</v>
      </c>
      <c r="Y38">
        <v>1.5734524431712591</v>
      </c>
      <c r="Z38">
        <v>9.1799172200262547</v>
      </c>
      <c r="AA38">
        <v>3.873239436619718</v>
      </c>
      <c r="AB38">
        <v>0.69789023873146994</v>
      </c>
    </row>
    <row r="39" spans="1:28" x14ac:dyDescent="0.25">
      <c r="A39">
        <v>6</v>
      </c>
      <c r="B39">
        <v>37</v>
      </c>
      <c r="C39">
        <v>25</v>
      </c>
      <c r="D39">
        <v>594</v>
      </c>
      <c r="E39">
        <v>47</v>
      </c>
      <c r="F39">
        <v>24</v>
      </c>
      <c r="G39">
        <v>15.904293252155179</v>
      </c>
      <c r="H39" t="s">
        <v>63</v>
      </c>
      <c r="I39" t="s">
        <v>29</v>
      </c>
      <c r="J39">
        <v>0</v>
      </c>
      <c r="K39">
        <v>110</v>
      </c>
      <c r="L39" t="s">
        <v>64</v>
      </c>
      <c r="M39">
        <v>3271</v>
      </c>
      <c r="N39">
        <v>5.440814970061183</v>
      </c>
      <c r="O39">
        <v>16.665464265272021</v>
      </c>
      <c r="P39">
        <v>3.9702027160674338</v>
      </c>
      <c r="Q39">
        <v>21.251981282606721</v>
      </c>
      <c r="R39">
        <v>3</v>
      </c>
      <c r="S39" t="s">
        <v>31</v>
      </c>
      <c r="T39">
        <v>2016</v>
      </c>
      <c r="U39" s="1">
        <v>45901.600802198707</v>
      </c>
      <c r="V39" t="s">
        <v>32</v>
      </c>
      <c r="W39" t="s">
        <v>84</v>
      </c>
      <c r="X39">
        <v>1.5001082239332351</v>
      </c>
      <c r="Y39">
        <v>1.509026501177458</v>
      </c>
      <c r="Z39">
        <v>8.3345357347279787</v>
      </c>
      <c r="AA39">
        <v>3.0265973708346068</v>
      </c>
      <c r="AB39">
        <v>0.45854227571827638</v>
      </c>
    </row>
    <row r="40" spans="1:28" x14ac:dyDescent="0.25">
      <c r="A40">
        <v>10</v>
      </c>
      <c r="B40">
        <v>38</v>
      </c>
      <c r="C40">
        <v>24</v>
      </c>
      <c r="D40">
        <v>498</v>
      </c>
      <c r="E40">
        <v>78</v>
      </c>
      <c r="F40">
        <v>22</v>
      </c>
      <c r="G40">
        <v>15.4409438893199</v>
      </c>
      <c r="H40" t="s">
        <v>41</v>
      </c>
      <c r="I40" t="s">
        <v>35</v>
      </c>
      <c r="J40">
        <v>0</v>
      </c>
      <c r="K40">
        <v>129</v>
      </c>
      <c r="L40" t="s">
        <v>42</v>
      </c>
      <c r="M40">
        <v>3233</v>
      </c>
      <c r="N40">
        <v>8.9881147053092718</v>
      </c>
      <c r="O40">
        <v>17.724455885589119</v>
      </c>
      <c r="P40">
        <v>9.0867256205528957</v>
      </c>
      <c r="Q40">
        <v>27.14119878038764</v>
      </c>
      <c r="R40">
        <v>6</v>
      </c>
      <c r="S40" t="s">
        <v>31</v>
      </c>
      <c r="T40">
        <v>2016</v>
      </c>
      <c r="U40" s="1">
        <v>45901.600802198707</v>
      </c>
      <c r="V40" t="s">
        <v>32</v>
      </c>
      <c r="W40" t="s">
        <v>84</v>
      </c>
      <c r="X40">
        <v>1.3540613125118961</v>
      </c>
      <c r="Y40">
        <v>1.424783365427345</v>
      </c>
      <c r="Z40">
        <v>6.2755441144108772</v>
      </c>
      <c r="AA40">
        <v>3.591091865140736</v>
      </c>
      <c r="AB40">
        <v>0.49341201042468952</v>
      </c>
    </row>
    <row r="41" spans="1:28" x14ac:dyDescent="0.25">
      <c r="A41">
        <v>3</v>
      </c>
      <c r="B41">
        <v>31</v>
      </c>
      <c r="C41">
        <v>20</v>
      </c>
      <c r="D41">
        <v>619</v>
      </c>
      <c r="E41">
        <v>31</v>
      </c>
      <c r="F41">
        <v>16</v>
      </c>
      <c r="G41">
        <v>18.866738028824329</v>
      </c>
      <c r="H41" t="s">
        <v>28</v>
      </c>
      <c r="I41" t="s">
        <v>29</v>
      </c>
      <c r="J41">
        <v>1</v>
      </c>
      <c r="K41">
        <v>139</v>
      </c>
      <c r="L41" t="s">
        <v>30</v>
      </c>
      <c r="M41">
        <v>2408</v>
      </c>
      <c r="N41">
        <v>4.6659090276807547</v>
      </c>
      <c r="O41">
        <v>22.672587677836411</v>
      </c>
      <c r="P41">
        <v>5.0266750333830714</v>
      </c>
      <c r="Q41">
        <v>25.352086670696728</v>
      </c>
      <c r="R41">
        <v>4</v>
      </c>
      <c r="S41" t="s">
        <v>31</v>
      </c>
      <c r="T41">
        <v>2016</v>
      </c>
      <c r="U41" s="1">
        <v>45901.600802198707</v>
      </c>
      <c r="V41" t="s">
        <v>32</v>
      </c>
      <c r="W41" t="s">
        <v>84</v>
      </c>
      <c r="X41">
        <v>0.8821225121802484</v>
      </c>
      <c r="Y41">
        <v>0.84805332938610967</v>
      </c>
      <c r="Z41">
        <v>-2.672587677836411</v>
      </c>
      <c r="AA41">
        <v>5.1951827242524917</v>
      </c>
      <c r="AB41">
        <v>0.84739737998558018</v>
      </c>
    </row>
    <row r="42" spans="1:28" x14ac:dyDescent="0.25">
      <c r="A42">
        <v>7</v>
      </c>
      <c r="B42">
        <v>35</v>
      </c>
      <c r="C42">
        <v>20</v>
      </c>
      <c r="D42">
        <v>802</v>
      </c>
      <c r="E42">
        <v>42</v>
      </c>
      <c r="F42">
        <v>20</v>
      </c>
      <c r="G42">
        <v>14.6706278771162</v>
      </c>
      <c r="H42" t="s">
        <v>37</v>
      </c>
      <c r="I42" t="s">
        <v>32</v>
      </c>
      <c r="J42">
        <v>0</v>
      </c>
      <c r="K42">
        <v>111</v>
      </c>
      <c r="L42" t="s">
        <v>38</v>
      </c>
      <c r="M42">
        <v>3101</v>
      </c>
      <c r="N42">
        <v>4.9120570626109838</v>
      </c>
      <c r="O42">
        <v>15.43179689347744</v>
      </c>
      <c r="P42">
        <v>6.5655499575659633</v>
      </c>
      <c r="Q42">
        <v>22.003214374184608</v>
      </c>
      <c r="R42">
        <v>10</v>
      </c>
      <c r="S42" t="s">
        <v>31</v>
      </c>
      <c r="T42">
        <v>2016</v>
      </c>
      <c r="U42" s="1">
        <v>45901.600802198707</v>
      </c>
      <c r="V42" t="s">
        <v>32</v>
      </c>
      <c r="W42" t="s">
        <v>84</v>
      </c>
      <c r="X42">
        <v>1.2960253519441669</v>
      </c>
      <c r="Y42">
        <v>1.363268168719401</v>
      </c>
      <c r="Z42">
        <v>4.5682031065225601</v>
      </c>
      <c r="AA42">
        <v>3.221541438245727</v>
      </c>
      <c r="AB42">
        <v>0.44787543386422762</v>
      </c>
    </row>
    <row r="43" spans="1:28" x14ac:dyDescent="0.25">
      <c r="A43">
        <v>7</v>
      </c>
      <c r="B43">
        <v>37</v>
      </c>
      <c r="C43">
        <v>18</v>
      </c>
      <c r="D43">
        <v>645</v>
      </c>
      <c r="E43">
        <v>52</v>
      </c>
      <c r="F43">
        <v>17</v>
      </c>
      <c r="G43">
        <v>13.94740527682006</v>
      </c>
      <c r="H43" t="s">
        <v>85</v>
      </c>
      <c r="I43" t="s">
        <v>35</v>
      </c>
      <c r="J43">
        <v>0</v>
      </c>
      <c r="K43">
        <v>94</v>
      </c>
      <c r="L43" t="s">
        <v>36</v>
      </c>
      <c r="M43">
        <v>3060</v>
      </c>
      <c r="N43">
        <v>4.5738115571439266</v>
      </c>
      <c r="O43">
        <v>14.70857424847782</v>
      </c>
      <c r="P43">
        <v>8.9736501593142748</v>
      </c>
      <c r="Q43">
        <v>25.153986811637878</v>
      </c>
      <c r="R43">
        <v>4</v>
      </c>
      <c r="S43" t="s">
        <v>31</v>
      </c>
      <c r="T43">
        <v>2016</v>
      </c>
      <c r="U43" s="1">
        <v>45901.600802198707</v>
      </c>
      <c r="V43" t="s">
        <v>32</v>
      </c>
      <c r="W43" t="s">
        <v>84</v>
      </c>
      <c r="X43">
        <v>1.2237759891556319</v>
      </c>
      <c r="Y43">
        <v>1.218864703691747</v>
      </c>
      <c r="Z43">
        <v>3.291425751522183</v>
      </c>
      <c r="AA43">
        <v>2.7647058823529411</v>
      </c>
      <c r="AB43">
        <v>0.43260512495522979</v>
      </c>
    </row>
    <row r="44" spans="1:28" x14ac:dyDescent="0.25">
      <c r="A44">
        <v>5</v>
      </c>
      <c r="B44">
        <v>28</v>
      </c>
      <c r="C44">
        <v>17</v>
      </c>
      <c r="D44">
        <v>1741</v>
      </c>
      <c r="E44">
        <v>48</v>
      </c>
      <c r="F44">
        <v>15</v>
      </c>
      <c r="G44">
        <v>12.354456894099711</v>
      </c>
      <c r="H44" t="s">
        <v>86</v>
      </c>
      <c r="I44" t="s">
        <v>29</v>
      </c>
      <c r="J44">
        <v>0</v>
      </c>
      <c r="K44">
        <v>115</v>
      </c>
      <c r="L44" t="s">
        <v>50</v>
      </c>
      <c r="M44">
        <v>2435</v>
      </c>
      <c r="N44">
        <v>5.1182332988828421</v>
      </c>
      <c r="O44">
        <v>14.63796586543322</v>
      </c>
      <c r="P44">
        <v>6.2195054516196251</v>
      </c>
      <c r="Q44">
        <v>20.05693997442722</v>
      </c>
      <c r="R44">
        <v>7</v>
      </c>
      <c r="S44" t="s">
        <v>31</v>
      </c>
      <c r="T44">
        <v>2016</v>
      </c>
      <c r="U44" s="1">
        <v>45901.600802198707</v>
      </c>
      <c r="V44" t="s">
        <v>32</v>
      </c>
      <c r="W44" t="s">
        <v>84</v>
      </c>
      <c r="X44">
        <v>1.16136354984572</v>
      </c>
      <c r="Y44">
        <v>1.2141367385533359</v>
      </c>
      <c r="Z44">
        <v>2.3620341345667839</v>
      </c>
      <c r="AA44">
        <v>4.2505133470225873</v>
      </c>
      <c r="AB44">
        <v>0.54103364595030368</v>
      </c>
    </row>
    <row r="45" spans="1:28" x14ac:dyDescent="0.25">
      <c r="A45">
        <v>2</v>
      </c>
      <c r="B45">
        <v>36</v>
      </c>
      <c r="C45">
        <v>16</v>
      </c>
      <c r="D45">
        <v>465</v>
      </c>
      <c r="E45">
        <v>30</v>
      </c>
      <c r="F45">
        <v>14</v>
      </c>
      <c r="G45">
        <v>8.62825040332973</v>
      </c>
      <c r="H45" t="s">
        <v>87</v>
      </c>
      <c r="I45" t="s">
        <v>35</v>
      </c>
      <c r="J45">
        <v>0</v>
      </c>
      <c r="K45">
        <v>67</v>
      </c>
      <c r="L45" t="s">
        <v>88</v>
      </c>
      <c r="M45">
        <v>2734</v>
      </c>
      <c r="N45">
        <v>2.4092318005859852</v>
      </c>
      <c r="O45">
        <v>10.911748604848979</v>
      </c>
      <c r="P45">
        <v>3.412045930512249</v>
      </c>
      <c r="Q45">
        <v>12.56198308989406</v>
      </c>
      <c r="R45">
        <v>1</v>
      </c>
      <c r="S45" t="s">
        <v>31</v>
      </c>
      <c r="T45">
        <v>2016</v>
      </c>
      <c r="U45" s="1">
        <v>45901.600802198707</v>
      </c>
      <c r="V45" t="s">
        <v>32</v>
      </c>
      <c r="W45" t="s">
        <v>84</v>
      </c>
      <c r="X45">
        <v>1.4663094412649771</v>
      </c>
      <c r="Y45">
        <v>1.6225769241232559</v>
      </c>
      <c r="Z45">
        <v>5.0882513951510209</v>
      </c>
      <c r="AA45">
        <v>2.205559619604974</v>
      </c>
      <c r="AB45">
        <v>0.35920167316620638</v>
      </c>
    </row>
    <row r="46" spans="1:28" x14ac:dyDescent="0.25">
      <c r="A46">
        <v>5</v>
      </c>
      <c r="B46">
        <v>36</v>
      </c>
      <c r="C46">
        <v>16</v>
      </c>
      <c r="D46">
        <v>701</v>
      </c>
      <c r="E46">
        <v>88</v>
      </c>
      <c r="F46">
        <v>14</v>
      </c>
      <c r="G46">
        <v>8.7493430487811565</v>
      </c>
      <c r="H46" t="s">
        <v>89</v>
      </c>
      <c r="I46" t="s">
        <v>49</v>
      </c>
      <c r="J46">
        <v>0</v>
      </c>
      <c r="K46">
        <v>77</v>
      </c>
      <c r="L46" t="s">
        <v>38</v>
      </c>
      <c r="M46">
        <v>3050</v>
      </c>
      <c r="N46">
        <v>6.4405673667788514</v>
      </c>
      <c r="O46">
        <v>11.03284815326333</v>
      </c>
      <c r="P46">
        <v>9.10812764801085</v>
      </c>
      <c r="Q46">
        <v>20.609466394409541</v>
      </c>
      <c r="R46">
        <v>3</v>
      </c>
      <c r="S46" t="s">
        <v>31</v>
      </c>
      <c r="T46">
        <v>2016</v>
      </c>
      <c r="U46" s="1">
        <v>45901.600802198707</v>
      </c>
      <c r="V46" t="s">
        <v>32</v>
      </c>
      <c r="W46" t="s">
        <v>84</v>
      </c>
      <c r="X46">
        <v>1.4502148291842001</v>
      </c>
      <c r="Y46">
        <v>1.6001201372427949</v>
      </c>
      <c r="Z46">
        <v>4.9671518467366704</v>
      </c>
      <c r="AA46">
        <v>2.2721311475409842</v>
      </c>
      <c r="AB46">
        <v>0.32555945370285239</v>
      </c>
    </row>
    <row r="47" spans="1:28" x14ac:dyDescent="0.25">
      <c r="A47">
        <v>2</v>
      </c>
      <c r="B47">
        <v>36</v>
      </c>
      <c r="C47">
        <v>15</v>
      </c>
      <c r="D47">
        <v>606</v>
      </c>
      <c r="E47">
        <v>32</v>
      </c>
      <c r="F47">
        <v>13</v>
      </c>
      <c r="G47">
        <v>14.31119065359235</v>
      </c>
      <c r="H47" t="s">
        <v>46</v>
      </c>
      <c r="I47" t="s">
        <v>32</v>
      </c>
      <c r="J47">
        <v>0</v>
      </c>
      <c r="K47">
        <v>105</v>
      </c>
      <c r="L47" t="s">
        <v>90</v>
      </c>
      <c r="M47">
        <v>3153</v>
      </c>
      <c r="N47">
        <v>2.0585755221545701</v>
      </c>
      <c r="O47">
        <v>17.355868473649021</v>
      </c>
      <c r="P47">
        <v>4.1108908914029598</v>
      </c>
      <c r="Q47">
        <v>13.20291830413044</v>
      </c>
      <c r="R47">
        <v>10</v>
      </c>
      <c r="S47" t="s">
        <v>31</v>
      </c>
      <c r="T47">
        <v>2016</v>
      </c>
      <c r="U47" s="1">
        <v>45901.600802198707</v>
      </c>
      <c r="V47" t="s">
        <v>32</v>
      </c>
      <c r="W47" t="s">
        <v>84</v>
      </c>
      <c r="X47">
        <v>0.86426098600448142</v>
      </c>
      <c r="Y47">
        <v>0.9083800443072696</v>
      </c>
      <c r="Z47">
        <v>-2.355868473649025</v>
      </c>
      <c r="AA47">
        <v>2.997145575642246</v>
      </c>
      <c r="AB47">
        <v>0.49541013721167532</v>
      </c>
    </row>
    <row r="48" spans="1:28" x14ac:dyDescent="0.25">
      <c r="A48">
        <v>2</v>
      </c>
      <c r="B48">
        <v>37</v>
      </c>
      <c r="C48">
        <v>15</v>
      </c>
      <c r="D48">
        <v>735</v>
      </c>
      <c r="E48">
        <v>20</v>
      </c>
      <c r="F48">
        <v>10</v>
      </c>
      <c r="G48">
        <v>9.8417282029986382</v>
      </c>
      <c r="H48" t="s">
        <v>73</v>
      </c>
      <c r="I48" t="s">
        <v>32</v>
      </c>
      <c r="J48">
        <v>0</v>
      </c>
      <c r="K48">
        <v>99</v>
      </c>
      <c r="L48" t="s">
        <v>74</v>
      </c>
      <c r="M48">
        <v>3324</v>
      </c>
      <c r="N48">
        <v>1.369614386931062</v>
      </c>
      <c r="O48">
        <v>13.64757657423616</v>
      </c>
      <c r="P48">
        <v>2.2906538536772132</v>
      </c>
      <c r="Q48">
        <v>11.50997960940003</v>
      </c>
      <c r="R48">
        <v>1</v>
      </c>
      <c r="S48" t="s">
        <v>31</v>
      </c>
      <c r="T48">
        <v>2016</v>
      </c>
      <c r="U48" s="1">
        <v>45901.600802198707</v>
      </c>
      <c r="V48" t="s">
        <v>32</v>
      </c>
      <c r="W48" t="s">
        <v>84</v>
      </c>
      <c r="X48">
        <v>1.0990962328298599</v>
      </c>
      <c r="Y48">
        <v>1.0160817077790401</v>
      </c>
      <c r="Z48">
        <v>1.3524234257638439</v>
      </c>
      <c r="AA48">
        <v>2.6805054151624552</v>
      </c>
      <c r="AB48">
        <v>0.36951922132408371</v>
      </c>
    </row>
    <row r="49" spans="1:28" x14ac:dyDescent="0.25">
      <c r="A49">
        <v>1</v>
      </c>
      <c r="B49">
        <v>33</v>
      </c>
      <c r="C49">
        <v>15</v>
      </c>
      <c r="D49">
        <v>1728</v>
      </c>
      <c r="E49">
        <v>26</v>
      </c>
      <c r="F49">
        <v>15</v>
      </c>
      <c r="G49">
        <v>8.0286075919866562</v>
      </c>
      <c r="H49" t="s">
        <v>91</v>
      </c>
      <c r="I49" t="s">
        <v>29</v>
      </c>
      <c r="J49">
        <v>0</v>
      </c>
      <c r="K49">
        <v>51</v>
      </c>
      <c r="L49" t="s">
        <v>77</v>
      </c>
      <c r="M49">
        <v>2462</v>
      </c>
      <c r="N49">
        <v>2.0905657596886158</v>
      </c>
      <c r="O49">
        <v>8.0286075919866562</v>
      </c>
      <c r="P49">
        <v>2.960022466257215</v>
      </c>
      <c r="Q49">
        <v>8.6008496023714542</v>
      </c>
      <c r="R49">
        <v>2</v>
      </c>
      <c r="S49" t="s">
        <v>31</v>
      </c>
      <c r="T49">
        <v>2016</v>
      </c>
      <c r="U49" s="1">
        <v>45901.600802198707</v>
      </c>
      <c r="V49" t="s">
        <v>32</v>
      </c>
      <c r="W49" t="s">
        <v>84</v>
      </c>
      <c r="X49">
        <v>1.8683189865913341</v>
      </c>
      <c r="Y49">
        <v>1.8683189865913341</v>
      </c>
      <c r="Z49">
        <v>6.9713924080133438</v>
      </c>
      <c r="AA49">
        <v>1.8643379366368811</v>
      </c>
      <c r="AB49">
        <v>0.29349093553159988</v>
      </c>
    </row>
    <row r="50" spans="1:28" x14ac:dyDescent="0.25">
      <c r="A50">
        <v>6</v>
      </c>
      <c r="B50">
        <v>34</v>
      </c>
      <c r="C50">
        <v>14</v>
      </c>
      <c r="D50">
        <v>453</v>
      </c>
      <c r="E50">
        <v>43</v>
      </c>
      <c r="F50">
        <v>14</v>
      </c>
      <c r="G50">
        <v>7.7653318271040916</v>
      </c>
      <c r="H50" t="s">
        <v>92</v>
      </c>
      <c r="I50" t="s">
        <v>35</v>
      </c>
      <c r="J50">
        <v>0</v>
      </c>
      <c r="K50">
        <v>80</v>
      </c>
      <c r="L50" t="s">
        <v>36</v>
      </c>
      <c r="M50">
        <v>2069</v>
      </c>
      <c r="N50">
        <v>4.6964159617200494</v>
      </c>
      <c r="O50">
        <v>7.7653318271040916</v>
      </c>
      <c r="P50">
        <v>4.2816234221681952</v>
      </c>
      <c r="Q50">
        <v>14.94859714433551</v>
      </c>
      <c r="R50">
        <v>2</v>
      </c>
      <c r="S50" t="s">
        <v>31</v>
      </c>
      <c r="T50">
        <v>2016</v>
      </c>
      <c r="U50" s="1">
        <v>45901.600802198707</v>
      </c>
      <c r="V50" t="s">
        <v>32</v>
      </c>
      <c r="W50" t="s">
        <v>84</v>
      </c>
      <c r="X50">
        <v>1.802884965087318</v>
      </c>
      <c r="Y50">
        <v>1.802884965087318</v>
      </c>
      <c r="Z50">
        <v>6.2346681728959084</v>
      </c>
      <c r="AA50">
        <v>3.4799420009666502</v>
      </c>
      <c r="AB50">
        <v>0.33778630470728283</v>
      </c>
    </row>
    <row r="51" spans="1:28" x14ac:dyDescent="0.25">
      <c r="A51">
        <v>7</v>
      </c>
      <c r="B51">
        <v>31</v>
      </c>
      <c r="C51">
        <v>13</v>
      </c>
      <c r="D51">
        <v>488</v>
      </c>
      <c r="E51">
        <v>65</v>
      </c>
      <c r="F51">
        <v>13</v>
      </c>
      <c r="G51">
        <v>8.8678603395819664</v>
      </c>
      <c r="H51" t="s">
        <v>93</v>
      </c>
      <c r="I51" t="s">
        <v>35</v>
      </c>
      <c r="J51">
        <v>0</v>
      </c>
      <c r="K51">
        <v>106</v>
      </c>
      <c r="L51" t="s">
        <v>82</v>
      </c>
      <c r="M51">
        <v>2265</v>
      </c>
      <c r="N51">
        <v>6.2587265949696302</v>
      </c>
      <c r="O51">
        <v>8.8678603395819664</v>
      </c>
      <c r="P51">
        <v>8.1912408210337162</v>
      </c>
      <c r="Q51">
        <v>18.205975122749809</v>
      </c>
      <c r="R51">
        <v>2</v>
      </c>
      <c r="S51" t="s">
        <v>31</v>
      </c>
      <c r="T51">
        <v>2016</v>
      </c>
      <c r="U51" s="1">
        <v>45901.600802198707</v>
      </c>
      <c r="V51" t="s">
        <v>32</v>
      </c>
      <c r="W51" t="s">
        <v>84</v>
      </c>
      <c r="X51">
        <v>1.4659680579287091</v>
      </c>
      <c r="Y51">
        <v>1.4659680579287091</v>
      </c>
      <c r="Z51">
        <v>4.1321396604180336</v>
      </c>
      <c r="AA51">
        <v>4.2119205298013247</v>
      </c>
      <c r="AB51">
        <v>0.35236531150656819</v>
      </c>
    </row>
    <row r="52" spans="1:28" x14ac:dyDescent="0.25">
      <c r="A52">
        <v>5</v>
      </c>
      <c r="B52">
        <v>35</v>
      </c>
      <c r="C52">
        <v>13</v>
      </c>
      <c r="D52">
        <v>755</v>
      </c>
      <c r="E52">
        <v>31</v>
      </c>
      <c r="F52">
        <v>13</v>
      </c>
      <c r="G52">
        <v>9.9471660107374191</v>
      </c>
      <c r="H52" t="s">
        <v>70</v>
      </c>
      <c r="I52" t="s">
        <v>29</v>
      </c>
      <c r="J52">
        <v>1</v>
      </c>
      <c r="K52">
        <v>53</v>
      </c>
      <c r="L52" t="s">
        <v>56</v>
      </c>
      <c r="M52">
        <v>2822</v>
      </c>
      <c r="N52">
        <v>4.6759517649188638</v>
      </c>
      <c r="O52">
        <v>9.9471660107374191</v>
      </c>
      <c r="P52">
        <v>2.786928022280335</v>
      </c>
      <c r="Q52">
        <v>14.123065508902069</v>
      </c>
      <c r="R52">
        <v>2</v>
      </c>
      <c r="S52" t="s">
        <v>31</v>
      </c>
      <c r="T52">
        <v>2016</v>
      </c>
      <c r="U52" s="1">
        <v>45901.600802198707</v>
      </c>
      <c r="V52" t="s">
        <v>32</v>
      </c>
      <c r="W52" t="s">
        <v>84</v>
      </c>
      <c r="X52">
        <v>1.306904899945091</v>
      </c>
      <c r="Y52">
        <v>1.306904899945091</v>
      </c>
      <c r="Z52">
        <v>3.0528339892625809</v>
      </c>
      <c r="AA52">
        <v>1.69029057406095</v>
      </c>
      <c r="AB52">
        <v>0.31723775370884749</v>
      </c>
    </row>
    <row r="53" spans="1:28" x14ac:dyDescent="0.25">
      <c r="A53">
        <v>5</v>
      </c>
      <c r="B53">
        <v>27</v>
      </c>
      <c r="C53">
        <v>13</v>
      </c>
      <c r="D53">
        <v>838</v>
      </c>
      <c r="E53">
        <v>43</v>
      </c>
      <c r="F53">
        <v>13</v>
      </c>
      <c r="G53">
        <v>9.4809242747724056</v>
      </c>
      <c r="H53" t="s">
        <v>67</v>
      </c>
      <c r="I53" t="s">
        <v>29</v>
      </c>
      <c r="J53">
        <v>0</v>
      </c>
      <c r="K53">
        <v>57</v>
      </c>
      <c r="L53" t="s">
        <v>82</v>
      </c>
      <c r="M53">
        <v>2257</v>
      </c>
      <c r="N53">
        <v>4.4452099520713091</v>
      </c>
      <c r="O53">
        <v>9.4809242747724056</v>
      </c>
      <c r="P53">
        <v>9.5258497856557351</v>
      </c>
      <c r="Q53">
        <v>20.189119152724739</v>
      </c>
      <c r="R53">
        <v>4</v>
      </c>
      <c r="S53" t="s">
        <v>31</v>
      </c>
      <c r="T53">
        <v>2016</v>
      </c>
      <c r="U53" s="1">
        <v>45901.600802198707</v>
      </c>
      <c r="V53" t="s">
        <v>32</v>
      </c>
      <c r="W53" t="s">
        <v>84</v>
      </c>
      <c r="X53">
        <v>1.371174331029247</v>
      </c>
      <c r="Y53">
        <v>1.371174331029247</v>
      </c>
      <c r="Z53">
        <v>3.5190757252275939</v>
      </c>
      <c r="AA53">
        <v>2.2729286663712891</v>
      </c>
      <c r="AB53">
        <v>0.37806078189167769</v>
      </c>
    </row>
    <row r="54" spans="1:28" x14ac:dyDescent="0.25">
      <c r="A54">
        <v>3</v>
      </c>
      <c r="B54">
        <v>29</v>
      </c>
      <c r="C54">
        <v>12</v>
      </c>
      <c r="D54">
        <v>502</v>
      </c>
      <c r="E54">
        <v>17</v>
      </c>
      <c r="F54">
        <v>12</v>
      </c>
      <c r="G54">
        <v>6.9990839101374149</v>
      </c>
      <c r="H54" t="s">
        <v>43</v>
      </c>
      <c r="I54" t="s">
        <v>29</v>
      </c>
      <c r="J54">
        <v>0</v>
      </c>
      <c r="K54">
        <v>39</v>
      </c>
      <c r="L54" t="s">
        <v>42</v>
      </c>
      <c r="M54">
        <v>1170</v>
      </c>
      <c r="N54">
        <v>2.0118066053837542</v>
      </c>
      <c r="O54">
        <v>6.9990839101374149</v>
      </c>
      <c r="P54">
        <v>1.824637997895479</v>
      </c>
      <c r="Q54">
        <v>9.5838468745350838</v>
      </c>
      <c r="R54">
        <v>2</v>
      </c>
      <c r="S54" t="s">
        <v>31</v>
      </c>
      <c r="T54">
        <v>2016</v>
      </c>
      <c r="U54" s="1">
        <v>45901.600802198707</v>
      </c>
      <c r="V54" t="s">
        <v>32</v>
      </c>
      <c r="W54" t="s">
        <v>84</v>
      </c>
      <c r="X54">
        <v>1.714510092187822</v>
      </c>
      <c r="Y54">
        <v>1.714510092187822</v>
      </c>
      <c r="Z54">
        <v>5.0009160898625851</v>
      </c>
      <c r="AA54">
        <v>3</v>
      </c>
      <c r="AB54">
        <v>0.53839107001057041</v>
      </c>
    </row>
    <row r="55" spans="1:28" x14ac:dyDescent="0.25">
      <c r="A55">
        <v>7</v>
      </c>
      <c r="B55">
        <v>35</v>
      </c>
      <c r="C55">
        <v>11</v>
      </c>
      <c r="D55">
        <v>482</v>
      </c>
      <c r="E55">
        <v>78</v>
      </c>
      <c r="F55">
        <v>11</v>
      </c>
      <c r="G55">
        <v>10.364667488262061</v>
      </c>
      <c r="H55" t="s">
        <v>81</v>
      </c>
      <c r="I55" t="s">
        <v>29</v>
      </c>
      <c r="J55">
        <v>0</v>
      </c>
      <c r="K55">
        <v>100</v>
      </c>
      <c r="L55" t="s">
        <v>82</v>
      </c>
      <c r="M55">
        <v>3077</v>
      </c>
      <c r="N55">
        <v>7.8529176842421293</v>
      </c>
      <c r="O55">
        <v>10.364667488262061</v>
      </c>
      <c r="P55">
        <v>11.649156866595151</v>
      </c>
      <c r="Q55">
        <v>24.931322157382969</v>
      </c>
      <c r="R55">
        <v>5</v>
      </c>
      <c r="S55" t="s">
        <v>31</v>
      </c>
      <c r="T55">
        <v>2016</v>
      </c>
      <c r="U55" s="1">
        <v>45901.600802198707</v>
      </c>
      <c r="V55" t="s">
        <v>32</v>
      </c>
      <c r="W55" t="s">
        <v>84</v>
      </c>
      <c r="X55">
        <v>1.0612979154861899</v>
      </c>
      <c r="Y55">
        <v>1.0612979154861899</v>
      </c>
      <c r="Z55">
        <v>0.63533251173794447</v>
      </c>
      <c r="AA55">
        <v>2.9249268768280801</v>
      </c>
      <c r="AB55">
        <v>0.30315894505803859</v>
      </c>
    </row>
    <row r="56" spans="1:28" x14ac:dyDescent="0.25">
      <c r="A56">
        <v>2</v>
      </c>
      <c r="B56">
        <v>28</v>
      </c>
      <c r="C56">
        <v>10</v>
      </c>
      <c r="D56">
        <v>503</v>
      </c>
      <c r="E56">
        <v>13</v>
      </c>
      <c r="F56">
        <v>10</v>
      </c>
      <c r="G56">
        <v>9.1403079219162464</v>
      </c>
      <c r="H56" t="s">
        <v>94</v>
      </c>
      <c r="I56" t="s">
        <v>35</v>
      </c>
      <c r="J56">
        <v>0</v>
      </c>
      <c r="K56">
        <v>62</v>
      </c>
      <c r="L56" t="s">
        <v>42</v>
      </c>
      <c r="M56">
        <v>1944</v>
      </c>
      <c r="N56">
        <v>2.5256067672744398</v>
      </c>
      <c r="O56">
        <v>9.9014772288501263</v>
      </c>
      <c r="P56">
        <v>2.4239520076662302</v>
      </c>
      <c r="Q56">
        <v>11.123216319829231</v>
      </c>
      <c r="R56">
        <v>1</v>
      </c>
      <c r="S56" t="s">
        <v>31</v>
      </c>
      <c r="T56">
        <v>2016</v>
      </c>
      <c r="U56" s="1">
        <v>45901.600802198707</v>
      </c>
      <c r="V56" t="s">
        <v>32</v>
      </c>
      <c r="W56" t="s">
        <v>84</v>
      </c>
      <c r="X56">
        <v>1.009950310329736</v>
      </c>
      <c r="Y56">
        <v>1.0940550455660709</v>
      </c>
      <c r="Z56">
        <v>9.8522771149873734E-2</v>
      </c>
      <c r="AA56">
        <v>2.8703703703703698</v>
      </c>
      <c r="AB56">
        <v>0.45840172355787617</v>
      </c>
    </row>
    <row r="57" spans="1:28" x14ac:dyDescent="0.25">
      <c r="A57">
        <v>4</v>
      </c>
      <c r="B57">
        <v>37</v>
      </c>
      <c r="C57">
        <v>10</v>
      </c>
      <c r="D57">
        <v>574</v>
      </c>
      <c r="E57">
        <v>40</v>
      </c>
      <c r="F57">
        <v>7</v>
      </c>
      <c r="G57">
        <v>6.3099968694150448</v>
      </c>
      <c r="H57" t="s">
        <v>75</v>
      </c>
      <c r="I57" t="s">
        <v>29</v>
      </c>
      <c r="J57">
        <v>0</v>
      </c>
      <c r="K57">
        <v>42</v>
      </c>
      <c r="L57" t="s">
        <v>72</v>
      </c>
      <c r="M57">
        <v>2940</v>
      </c>
      <c r="N57">
        <v>3.109722388908267</v>
      </c>
      <c r="O57">
        <v>8.5935024116188288</v>
      </c>
      <c r="P57">
        <v>2.0820989906787868</v>
      </c>
      <c r="Q57">
        <v>9.3182407859712839</v>
      </c>
      <c r="R57">
        <v>7</v>
      </c>
      <c r="S57" t="s">
        <v>31</v>
      </c>
      <c r="T57">
        <v>2016</v>
      </c>
      <c r="U57" s="1">
        <v>45901.600802198707</v>
      </c>
      <c r="V57" t="s">
        <v>32</v>
      </c>
      <c r="W57" t="s">
        <v>84</v>
      </c>
      <c r="X57">
        <v>1.163669889296769</v>
      </c>
      <c r="Y57">
        <v>1.109350788100933</v>
      </c>
      <c r="Z57">
        <v>1.406497588381171</v>
      </c>
      <c r="AA57">
        <v>1.285714285714286</v>
      </c>
      <c r="AB57">
        <v>0.26306640035567841</v>
      </c>
    </row>
    <row r="58" spans="1:28" x14ac:dyDescent="0.25">
      <c r="A58">
        <v>3</v>
      </c>
      <c r="B58">
        <v>37</v>
      </c>
      <c r="C58">
        <v>10</v>
      </c>
      <c r="D58">
        <v>1661</v>
      </c>
      <c r="E58">
        <v>15</v>
      </c>
      <c r="F58">
        <v>8</v>
      </c>
      <c r="G58">
        <v>6.8251122143119574</v>
      </c>
      <c r="H58" t="s">
        <v>95</v>
      </c>
      <c r="I58" t="s">
        <v>29</v>
      </c>
      <c r="J58">
        <v>0</v>
      </c>
      <c r="K58">
        <v>57</v>
      </c>
      <c r="L58" t="s">
        <v>62</v>
      </c>
      <c r="M58">
        <v>2030</v>
      </c>
      <c r="N58">
        <v>1.529020207934082</v>
      </c>
      <c r="O58">
        <v>8.347450690343976</v>
      </c>
      <c r="P58">
        <v>1.6939680716022849</v>
      </c>
      <c r="Q58">
        <v>7.930247075855732</v>
      </c>
      <c r="R58">
        <v>0</v>
      </c>
      <c r="S58" t="s">
        <v>31</v>
      </c>
      <c r="T58">
        <v>2016</v>
      </c>
      <c r="U58" s="1">
        <v>45901.600802198707</v>
      </c>
      <c r="V58" t="s">
        <v>32</v>
      </c>
      <c r="W58" t="s">
        <v>84</v>
      </c>
      <c r="X58">
        <v>1.1979705386660899</v>
      </c>
      <c r="Y58">
        <v>1.1721419002055899</v>
      </c>
      <c r="Z58">
        <v>1.652549309656024</v>
      </c>
      <c r="AA58">
        <v>2.527093596059113</v>
      </c>
      <c r="AB58">
        <v>0.37008402075416641</v>
      </c>
    </row>
    <row r="59" spans="1:28" x14ac:dyDescent="0.25">
      <c r="A59">
        <v>10</v>
      </c>
      <c r="B59">
        <v>36</v>
      </c>
      <c r="C59">
        <v>32</v>
      </c>
      <c r="D59">
        <v>1250</v>
      </c>
      <c r="E59">
        <v>62</v>
      </c>
      <c r="F59">
        <v>31</v>
      </c>
      <c r="G59">
        <v>23.61415554583073</v>
      </c>
      <c r="H59" t="s">
        <v>96</v>
      </c>
      <c r="I59" t="s">
        <v>35</v>
      </c>
      <c r="J59">
        <v>0</v>
      </c>
      <c r="K59">
        <v>143</v>
      </c>
      <c r="L59" t="s">
        <v>82</v>
      </c>
      <c r="M59">
        <v>2954</v>
      </c>
      <c r="N59">
        <v>8.3444789052009583</v>
      </c>
      <c r="O59">
        <v>25.136492550373081</v>
      </c>
      <c r="P59">
        <v>5.8985765315592289</v>
      </c>
      <c r="Q59">
        <v>35.301444325596087</v>
      </c>
      <c r="R59">
        <v>1</v>
      </c>
      <c r="S59" t="s">
        <v>31</v>
      </c>
      <c r="T59">
        <v>2017</v>
      </c>
      <c r="U59" s="1">
        <v>45901.600802198707</v>
      </c>
      <c r="V59" t="s">
        <v>32</v>
      </c>
      <c r="W59" t="s">
        <v>97</v>
      </c>
      <c r="X59">
        <v>1.273049528921848</v>
      </c>
      <c r="Y59">
        <v>1.3127719066572039</v>
      </c>
      <c r="Z59">
        <v>6.8635074496269191</v>
      </c>
      <c r="AA59">
        <v>4.3568043331076511</v>
      </c>
      <c r="AB59">
        <v>0.76583762001813727</v>
      </c>
    </row>
    <row r="60" spans="1:28" x14ac:dyDescent="0.25">
      <c r="A60">
        <v>2</v>
      </c>
      <c r="B60">
        <v>37</v>
      </c>
      <c r="C60">
        <v>30</v>
      </c>
      <c r="D60">
        <v>647</v>
      </c>
      <c r="E60">
        <v>34</v>
      </c>
      <c r="F60">
        <v>28</v>
      </c>
      <c r="G60">
        <v>24.576369948685169</v>
      </c>
      <c r="H60" t="s">
        <v>34</v>
      </c>
      <c r="I60" t="s">
        <v>29</v>
      </c>
      <c r="J60">
        <v>0</v>
      </c>
      <c r="K60">
        <v>183</v>
      </c>
      <c r="L60" t="s">
        <v>36</v>
      </c>
      <c r="M60">
        <v>3094</v>
      </c>
      <c r="N60">
        <v>3.820442788302898</v>
      </c>
      <c r="O60">
        <v>26.859878040850159</v>
      </c>
      <c r="P60">
        <v>7.9616395737975836</v>
      </c>
      <c r="Q60">
        <v>28.515287799760699</v>
      </c>
      <c r="R60">
        <v>5</v>
      </c>
      <c r="S60" t="s">
        <v>31</v>
      </c>
      <c r="T60">
        <v>2017</v>
      </c>
      <c r="U60" s="1">
        <v>45901.600802198707</v>
      </c>
      <c r="V60" t="s">
        <v>32</v>
      </c>
      <c r="W60" t="s">
        <v>97</v>
      </c>
      <c r="X60">
        <v>1.1169075285589209</v>
      </c>
      <c r="Y60">
        <v>1.139305766411528</v>
      </c>
      <c r="Z60">
        <v>3.140121959149837</v>
      </c>
      <c r="AA60">
        <v>5.3232062055591456</v>
      </c>
      <c r="AB60">
        <v>0.78131513370281658</v>
      </c>
    </row>
    <row r="61" spans="1:28" x14ac:dyDescent="0.25">
      <c r="A61">
        <v>6</v>
      </c>
      <c r="B61">
        <v>25</v>
      </c>
      <c r="C61">
        <v>21</v>
      </c>
      <c r="D61">
        <v>619</v>
      </c>
      <c r="E61">
        <v>39</v>
      </c>
      <c r="F61">
        <v>17</v>
      </c>
      <c r="G61">
        <v>15.52394564449787</v>
      </c>
      <c r="H61" t="s">
        <v>28</v>
      </c>
      <c r="I61" t="s">
        <v>29</v>
      </c>
      <c r="J61">
        <v>0</v>
      </c>
      <c r="K61">
        <v>95</v>
      </c>
      <c r="L61" t="s">
        <v>30</v>
      </c>
      <c r="M61">
        <v>1985</v>
      </c>
      <c r="N61">
        <v>6.5332317911088467</v>
      </c>
      <c r="O61">
        <v>18.568616069853299</v>
      </c>
      <c r="P61">
        <v>7.5127200009301296</v>
      </c>
      <c r="Q61">
        <v>23.707817398011681</v>
      </c>
      <c r="R61">
        <v>2</v>
      </c>
      <c r="S61" t="s">
        <v>31</v>
      </c>
      <c r="T61">
        <v>2017</v>
      </c>
      <c r="U61" s="1">
        <v>45901.600802198707</v>
      </c>
      <c r="V61" t="s">
        <v>32</v>
      </c>
      <c r="W61" t="s">
        <v>97</v>
      </c>
      <c r="X61">
        <v>1.130940503104813</v>
      </c>
      <c r="Y61">
        <v>1.09508242229805</v>
      </c>
      <c r="Z61">
        <v>2.4313839301466982</v>
      </c>
      <c r="AA61">
        <v>4.3073047858942068</v>
      </c>
      <c r="AB61">
        <v>0.84190198805380212</v>
      </c>
    </row>
    <row r="62" spans="1:28" x14ac:dyDescent="0.25">
      <c r="A62">
        <v>1</v>
      </c>
      <c r="B62">
        <v>37</v>
      </c>
      <c r="C62">
        <v>20</v>
      </c>
      <c r="D62">
        <v>755</v>
      </c>
      <c r="E62">
        <v>33</v>
      </c>
      <c r="F62">
        <v>15</v>
      </c>
      <c r="G62">
        <v>10.69998712092638</v>
      </c>
      <c r="H62" t="s">
        <v>70</v>
      </c>
      <c r="I62" t="s">
        <v>32</v>
      </c>
      <c r="J62">
        <v>0</v>
      </c>
      <c r="K62">
        <v>70</v>
      </c>
      <c r="L62" t="s">
        <v>56</v>
      </c>
      <c r="M62">
        <v>3269</v>
      </c>
      <c r="N62">
        <v>3.6308271735906601</v>
      </c>
      <c r="O62">
        <v>15.26695853471756</v>
      </c>
      <c r="P62">
        <v>1.97774030547589</v>
      </c>
      <c r="Q62">
        <v>15.58463294059038</v>
      </c>
      <c r="R62">
        <v>3</v>
      </c>
      <c r="S62" t="s">
        <v>31</v>
      </c>
      <c r="T62">
        <v>2017</v>
      </c>
      <c r="U62" s="1">
        <v>45901.600802198707</v>
      </c>
      <c r="V62" t="s">
        <v>32</v>
      </c>
      <c r="W62" t="s">
        <v>97</v>
      </c>
      <c r="X62">
        <v>1.3100186231933071</v>
      </c>
      <c r="Y62">
        <v>1.401870846242788</v>
      </c>
      <c r="Z62">
        <v>4.7330414652824402</v>
      </c>
      <c r="AA62">
        <v>1.9271948608137039</v>
      </c>
      <c r="AB62">
        <v>0.42032005754805152</v>
      </c>
    </row>
    <row r="63" spans="1:28" x14ac:dyDescent="0.25">
      <c r="A63">
        <v>11</v>
      </c>
      <c r="B63">
        <v>33</v>
      </c>
      <c r="C63">
        <v>18</v>
      </c>
      <c r="D63">
        <v>618</v>
      </c>
      <c r="E63">
        <v>55</v>
      </c>
      <c r="F63">
        <v>17</v>
      </c>
      <c r="G63">
        <v>18.06880149431527</v>
      </c>
      <c r="H63" t="s">
        <v>98</v>
      </c>
      <c r="I63" t="s">
        <v>29</v>
      </c>
      <c r="J63">
        <v>1</v>
      </c>
      <c r="K63">
        <v>87</v>
      </c>
      <c r="L63" t="s">
        <v>30</v>
      </c>
      <c r="M63">
        <v>2594</v>
      </c>
      <c r="N63">
        <v>8.8441203255206347</v>
      </c>
      <c r="O63">
        <v>18.829970480874181</v>
      </c>
      <c r="P63">
        <v>12.149654759094121</v>
      </c>
      <c r="Q63">
        <v>33.656708914786577</v>
      </c>
      <c r="R63">
        <v>3</v>
      </c>
      <c r="S63" t="s">
        <v>31</v>
      </c>
      <c r="T63">
        <v>2017</v>
      </c>
      <c r="U63" s="1">
        <v>45901.600802198707</v>
      </c>
      <c r="V63" t="s">
        <v>32</v>
      </c>
      <c r="W63" t="s">
        <v>97</v>
      </c>
      <c r="X63">
        <v>0.95592290058461904</v>
      </c>
      <c r="Y63">
        <v>0.94084823530484141</v>
      </c>
      <c r="Z63">
        <v>-0.82997048087418079</v>
      </c>
      <c r="AA63">
        <v>3.018504240555127</v>
      </c>
      <c r="AB63">
        <v>0.65331431892007574</v>
      </c>
    </row>
    <row r="64" spans="1:28" x14ac:dyDescent="0.25">
      <c r="A64">
        <v>7</v>
      </c>
      <c r="B64">
        <v>34</v>
      </c>
      <c r="C64">
        <v>16</v>
      </c>
      <c r="D64">
        <v>594</v>
      </c>
      <c r="E64">
        <v>33</v>
      </c>
      <c r="F64">
        <v>16</v>
      </c>
      <c r="G64">
        <v>14.70705369114876</v>
      </c>
      <c r="H64" t="s">
        <v>63</v>
      </c>
      <c r="I64" t="s">
        <v>29</v>
      </c>
      <c r="J64">
        <v>0</v>
      </c>
      <c r="K64">
        <v>86</v>
      </c>
      <c r="L64" t="s">
        <v>50</v>
      </c>
      <c r="M64">
        <v>2869</v>
      </c>
      <c r="N64">
        <v>5.4732051212340593</v>
      </c>
      <c r="O64">
        <v>15.46822774410248</v>
      </c>
      <c r="P64">
        <v>7.1619586050510406</v>
      </c>
      <c r="Q64">
        <v>24.643042024225</v>
      </c>
      <c r="R64">
        <v>4</v>
      </c>
      <c r="S64" t="s">
        <v>31</v>
      </c>
      <c r="T64">
        <v>2017</v>
      </c>
      <c r="U64" s="1">
        <v>45901.600802198707</v>
      </c>
      <c r="V64" t="s">
        <v>32</v>
      </c>
      <c r="W64" t="s">
        <v>97</v>
      </c>
      <c r="X64">
        <v>1.0343783570228511</v>
      </c>
      <c r="Y64">
        <v>1.0879133466160791</v>
      </c>
      <c r="Z64">
        <v>0.53177225589752197</v>
      </c>
      <c r="AA64">
        <v>2.697804112931335</v>
      </c>
      <c r="AB64">
        <v>0.48523544683486342</v>
      </c>
    </row>
    <row r="65" spans="1:28" x14ac:dyDescent="0.25">
      <c r="A65">
        <v>7</v>
      </c>
      <c r="B65">
        <v>37</v>
      </c>
      <c r="C65">
        <v>15</v>
      </c>
      <c r="D65">
        <v>482</v>
      </c>
      <c r="E65">
        <v>56</v>
      </c>
      <c r="F65">
        <v>14</v>
      </c>
      <c r="G65">
        <v>10.002534905448559</v>
      </c>
      <c r="H65" t="s">
        <v>81</v>
      </c>
      <c r="I65" t="s">
        <v>35</v>
      </c>
      <c r="J65">
        <v>0</v>
      </c>
      <c r="K65">
        <v>84</v>
      </c>
      <c r="L65" t="s">
        <v>82</v>
      </c>
      <c r="M65">
        <v>2814</v>
      </c>
      <c r="N65">
        <v>7.6784247858449817</v>
      </c>
      <c r="O65">
        <v>10.76370348967612</v>
      </c>
      <c r="P65">
        <v>12.62540929019451</v>
      </c>
      <c r="Q65">
        <v>27.8374640494585</v>
      </c>
      <c r="R65">
        <v>1</v>
      </c>
      <c r="S65" t="s">
        <v>31</v>
      </c>
      <c r="T65">
        <v>2017</v>
      </c>
      <c r="U65" s="1">
        <v>45901.600802198707</v>
      </c>
      <c r="V65" t="s">
        <v>32</v>
      </c>
      <c r="W65" t="s">
        <v>97</v>
      </c>
      <c r="X65">
        <v>1.393572390245335</v>
      </c>
      <c r="Y65">
        <v>1.399645203174843</v>
      </c>
      <c r="Z65">
        <v>4.2362965103238821</v>
      </c>
      <c r="AA65">
        <v>2.6865671641791038</v>
      </c>
      <c r="AB65">
        <v>0.34425490905147499</v>
      </c>
    </row>
    <row r="66" spans="1:28" x14ac:dyDescent="0.25">
      <c r="A66">
        <v>4</v>
      </c>
      <c r="B66">
        <v>32</v>
      </c>
      <c r="C66">
        <v>14</v>
      </c>
      <c r="D66">
        <v>3277</v>
      </c>
      <c r="E66">
        <v>36</v>
      </c>
      <c r="F66">
        <v>12</v>
      </c>
      <c r="G66">
        <v>12.308898691087959</v>
      </c>
      <c r="H66" t="s">
        <v>99</v>
      </c>
      <c r="I66" t="s">
        <v>29</v>
      </c>
      <c r="J66">
        <v>0</v>
      </c>
      <c r="K66">
        <v>67</v>
      </c>
      <c r="L66" t="s">
        <v>42</v>
      </c>
      <c r="M66">
        <v>2235</v>
      </c>
      <c r="N66">
        <v>4.8395553315058351</v>
      </c>
      <c r="O66">
        <v>13.831237014383079</v>
      </c>
      <c r="P66">
        <v>6.2286298926919699</v>
      </c>
      <c r="Q66">
        <v>20.898562707006931</v>
      </c>
      <c r="R66">
        <v>1</v>
      </c>
      <c r="S66" t="s">
        <v>31</v>
      </c>
      <c r="T66">
        <v>2017</v>
      </c>
      <c r="U66" s="1">
        <v>45901.600802198707</v>
      </c>
      <c r="V66" t="s">
        <v>32</v>
      </c>
      <c r="W66" t="s">
        <v>97</v>
      </c>
      <c r="X66">
        <v>1.012201582941672</v>
      </c>
      <c r="Y66">
        <v>0.9749044411819221</v>
      </c>
      <c r="Z66">
        <v>0.16876298561692241</v>
      </c>
      <c r="AA66">
        <v>2.6979865771812079</v>
      </c>
      <c r="AB66">
        <v>0.55696256433757363</v>
      </c>
    </row>
    <row r="67" spans="1:28" x14ac:dyDescent="0.25">
      <c r="A67">
        <v>3</v>
      </c>
      <c r="B67">
        <v>29</v>
      </c>
      <c r="C67">
        <v>13</v>
      </c>
      <c r="D67">
        <v>5543</v>
      </c>
      <c r="E67">
        <v>18</v>
      </c>
      <c r="F67">
        <v>13</v>
      </c>
      <c r="G67">
        <v>13.84384775906801</v>
      </c>
      <c r="H67" t="s">
        <v>100</v>
      </c>
      <c r="I67" t="s">
        <v>29</v>
      </c>
      <c r="J67">
        <v>0</v>
      </c>
      <c r="K67">
        <v>55</v>
      </c>
      <c r="L67" t="s">
        <v>30</v>
      </c>
      <c r="M67">
        <v>1692</v>
      </c>
      <c r="N67">
        <v>2.3076765239238739</v>
      </c>
      <c r="O67">
        <v>15.366181738674641</v>
      </c>
      <c r="P67">
        <v>6.5146959759294987</v>
      </c>
      <c r="Q67">
        <v>20.561474516987801</v>
      </c>
      <c r="R67">
        <v>6</v>
      </c>
      <c r="S67" t="s">
        <v>31</v>
      </c>
      <c r="T67">
        <v>2017</v>
      </c>
      <c r="U67" s="1">
        <v>45901.600802198707</v>
      </c>
      <c r="V67" t="s">
        <v>32</v>
      </c>
      <c r="W67" t="s">
        <v>97</v>
      </c>
      <c r="X67">
        <v>0.84601368258457632</v>
      </c>
      <c r="Y67">
        <v>0.93904528757077133</v>
      </c>
      <c r="Z67">
        <v>-2.3661817386746411</v>
      </c>
      <c r="AA67">
        <v>2.9255319148936172</v>
      </c>
      <c r="AB67">
        <v>0.81735009248269375</v>
      </c>
    </row>
    <row r="68" spans="1:28" x14ac:dyDescent="0.25">
      <c r="A68">
        <v>4</v>
      </c>
      <c r="B68">
        <v>34</v>
      </c>
      <c r="C68">
        <v>12</v>
      </c>
      <c r="D68">
        <v>701</v>
      </c>
      <c r="E68">
        <v>84</v>
      </c>
      <c r="F68">
        <v>10</v>
      </c>
      <c r="G68">
        <v>6.6901259608566761</v>
      </c>
      <c r="H68" t="s">
        <v>89</v>
      </c>
      <c r="I68" t="s">
        <v>35</v>
      </c>
      <c r="J68">
        <v>0</v>
      </c>
      <c r="K68">
        <v>71</v>
      </c>
      <c r="L68" t="s">
        <v>38</v>
      </c>
      <c r="M68">
        <v>2451</v>
      </c>
      <c r="N68">
        <v>7.3030810207128516</v>
      </c>
      <c r="O68">
        <v>8.2124610133469105</v>
      </c>
      <c r="P68">
        <v>9.2949484698474407</v>
      </c>
      <c r="Q68">
        <v>19.691357679665089</v>
      </c>
      <c r="R68">
        <v>2</v>
      </c>
      <c r="S68" t="s">
        <v>31</v>
      </c>
      <c r="T68">
        <v>2017</v>
      </c>
      <c r="U68" s="1">
        <v>45901.600802198707</v>
      </c>
      <c r="V68" t="s">
        <v>32</v>
      </c>
      <c r="W68" t="s">
        <v>97</v>
      </c>
      <c r="X68">
        <v>1.461194151241336</v>
      </c>
      <c r="Y68">
        <v>1.4947401676005949</v>
      </c>
      <c r="Z68">
        <v>3.78753898665309</v>
      </c>
      <c r="AA68">
        <v>2.6070991432068542</v>
      </c>
      <c r="AB68">
        <v>0.30155915593685112</v>
      </c>
    </row>
    <row r="69" spans="1:28" x14ac:dyDescent="0.25">
      <c r="A69">
        <v>10</v>
      </c>
      <c r="B69">
        <v>36</v>
      </c>
      <c r="C69">
        <v>12</v>
      </c>
      <c r="D69">
        <v>750</v>
      </c>
      <c r="E69">
        <v>57</v>
      </c>
      <c r="F69">
        <v>12</v>
      </c>
      <c r="G69">
        <v>6.613530645146966</v>
      </c>
      <c r="H69" t="s">
        <v>101</v>
      </c>
      <c r="I69" t="s">
        <v>35</v>
      </c>
      <c r="J69">
        <v>0</v>
      </c>
      <c r="K69">
        <v>74</v>
      </c>
      <c r="L69" t="s">
        <v>56</v>
      </c>
      <c r="M69">
        <v>2977</v>
      </c>
      <c r="N69">
        <v>7.5510424673557281</v>
      </c>
      <c r="O69">
        <v>6.613530645146966</v>
      </c>
      <c r="P69">
        <v>6.4665432740002871</v>
      </c>
      <c r="Q69">
        <v>15.85596566647291</v>
      </c>
      <c r="R69">
        <v>2</v>
      </c>
      <c r="S69" t="s">
        <v>31</v>
      </c>
      <c r="T69">
        <v>2017</v>
      </c>
      <c r="U69" s="1">
        <v>45901.600802198707</v>
      </c>
      <c r="V69" t="s">
        <v>32</v>
      </c>
      <c r="W69" t="s">
        <v>97</v>
      </c>
      <c r="X69">
        <v>1.814461993731842</v>
      </c>
      <c r="Y69">
        <v>1.814461993731842</v>
      </c>
      <c r="Z69">
        <v>5.386469354853034</v>
      </c>
      <c r="AA69">
        <v>2.2371514947934159</v>
      </c>
      <c r="AB69">
        <v>0.19993878336017029</v>
      </c>
    </row>
    <row r="70" spans="1:28" x14ac:dyDescent="0.25">
      <c r="A70">
        <v>0</v>
      </c>
      <c r="B70">
        <v>35</v>
      </c>
      <c r="C70">
        <v>12</v>
      </c>
      <c r="D70">
        <v>882</v>
      </c>
      <c r="E70">
        <v>16</v>
      </c>
      <c r="F70">
        <v>8</v>
      </c>
      <c r="G70">
        <v>7.8135867696255437</v>
      </c>
      <c r="H70" t="s">
        <v>102</v>
      </c>
      <c r="I70" t="s">
        <v>29</v>
      </c>
      <c r="J70">
        <v>0</v>
      </c>
      <c r="K70">
        <v>52</v>
      </c>
      <c r="L70" t="s">
        <v>103</v>
      </c>
      <c r="M70">
        <v>2204</v>
      </c>
      <c r="N70">
        <v>1.238380210474133</v>
      </c>
      <c r="O70">
        <v>12.38060029409826</v>
      </c>
      <c r="P70">
        <v>1.6577225178480151</v>
      </c>
      <c r="Q70">
        <v>8.4833731912076473</v>
      </c>
      <c r="R70">
        <v>9</v>
      </c>
      <c r="S70" t="s">
        <v>31</v>
      </c>
      <c r="T70">
        <v>2017</v>
      </c>
      <c r="U70" s="1">
        <v>45901.600802198707</v>
      </c>
      <c r="V70" t="s">
        <v>32</v>
      </c>
      <c r="W70" t="s">
        <v>97</v>
      </c>
      <c r="X70">
        <v>0.96925833279023732</v>
      </c>
      <c r="Y70">
        <v>1.0238575747439209</v>
      </c>
      <c r="Z70">
        <v>-0.38060029409825802</v>
      </c>
      <c r="AA70">
        <v>2.1234119782214158</v>
      </c>
      <c r="AB70">
        <v>0.50555990311653498</v>
      </c>
    </row>
    <row r="71" spans="1:28" x14ac:dyDescent="0.25">
      <c r="A71">
        <v>6</v>
      </c>
      <c r="B71">
        <v>31</v>
      </c>
      <c r="C71">
        <v>11</v>
      </c>
      <c r="D71">
        <v>865</v>
      </c>
      <c r="E71">
        <v>34</v>
      </c>
      <c r="F71">
        <v>11</v>
      </c>
      <c r="G71">
        <v>9.8014792017638683</v>
      </c>
      <c r="H71" t="s">
        <v>80</v>
      </c>
      <c r="I71" t="s">
        <v>35</v>
      </c>
      <c r="J71">
        <v>1</v>
      </c>
      <c r="K71">
        <v>71</v>
      </c>
      <c r="L71" t="s">
        <v>66</v>
      </c>
      <c r="M71">
        <v>2343</v>
      </c>
      <c r="N71">
        <v>4.4477998204529294</v>
      </c>
      <c r="O71">
        <v>9.8014792017638683</v>
      </c>
      <c r="P71">
        <v>2.6873125620186329</v>
      </c>
      <c r="Q71">
        <v>13.03737136349082</v>
      </c>
      <c r="R71">
        <v>5</v>
      </c>
      <c r="S71" t="s">
        <v>31</v>
      </c>
      <c r="T71">
        <v>2017</v>
      </c>
      <c r="U71" s="1">
        <v>45901.600802198707</v>
      </c>
      <c r="V71" t="s">
        <v>32</v>
      </c>
      <c r="W71" t="s">
        <v>97</v>
      </c>
      <c r="X71">
        <v>1.1222795838836701</v>
      </c>
      <c r="Y71">
        <v>1.1222795838836701</v>
      </c>
      <c r="Z71">
        <v>1.1985207982361319</v>
      </c>
      <c r="AA71">
        <v>2.727272727272728</v>
      </c>
      <c r="AB71">
        <v>0.37649728047748532</v>
      </c>
    </row>
    <row r="72" spans="1:28" x14ac:dyDescent="0.25">
      <c r="A72">
        <v>6</v>
      </c>
      <c r="B72">
        <v>31</v>
      </c>
      <c r="C72">
        <v>11</v>
      </c>
      <c r="D72">
        <v>1804</v>
      </c>
      <c r="E72">
        <v>36</v>
      </c>
      <c r="F72">
        <v>11</v>
      </c>
      <c r="G72">
        <v>13.90470589697361</v>
      </c>
      <c r="H72" t="s">
        <v>104</v>
      </c>
      <c r="I72" t="s">
        <v>35</v>
      </c>
      <c r="J72">
        <v>0</v>
      </c>
      <c r="K72">
        <v>79</v>
      </c>
      <c r="L72" t="s">
        <v>38</v>
      </c>
      <c r="M72">
        <v>2069</v>
      </c>
      <c r="N72">
        <v>3.5832404587417841</v>
      </c>
      <c r="O72">
        <v>13.90470589697361</v>
      </c>
      <c r="P72">
        <v>2.9470129888504739</v>
      </c>
      <c r="Q72">
        <v>17.91271110065281</v>
      </c>
      <c r="R72">
        <v>7</v>
      </c>
      <c r="S72" t="s">
        <v>31</v>
      </c>
      <c r="T72">
        <v>2017</v>
      </c>
      <c r="U72" s="1">
        <v>45901.600802198707</v>
      </c>
      <c r="V72" t="s">
        <v>32</v>
      </c>
      <c r="W72" t="s">
        <v>97</v>
      </c>
      <c r="X72">
        <v>0.79109907692432202</v>
      </c>
      <c r="Y72">
        <v>0.79109907692432202</v>
      </c>
      <c r="Z72">
        <v>-2.9047058969736099</v>
      </c>
      <c r="AA72">
        <v>3.436442725954568</v>
      </c>
      <c r="AB72">
        <v>0.60484462577458908</v>
      </c>
    </row>
    <row r="73" spans="1:28" x14ac:dyDescent="0.25">
      <c r="A73">
        <v>4</v>
      </c>
      <c r="B73">
        <v>13</v>
      </c>
      <c r="C73">
        <v>10</v>
      </c>
      <c r="D73">
        <v>318</v>
      </c>
      <c r="E73">
        <v>13</v>
      </c>
      <c r="F73">
        <v>9</v>
      </c>
      <c r="G73">
        <v>7.6520272605121136</v>
      </c>
      <c r="H73" t="s">
        <v>105</v>
      </c>
      <c r="I73" t="s">
        <v>29</v>
      </c>
      <c r="J73">
        <v>0</v>
      </c>
      <c r="K73">
        <v>31</v>
      </c>
      <c r="L73" t="s">
        <v>42</v>
      </c>
      <c r="M73">
        <v>1056</v>
      </c>
      <c r="N73">
        <v>1.264147974550724</v>
      </c>
      <c r="O73">
        <v>9.1743596121668816</v>
      </c>
      <c r="P73">
        <v>2.366456007584929</v>
      </c>
      <c r="Q73">
        <v>10.67103707231581</v>
      </c>
      <c r="R73">
        <v>0</v>
      </c>
      <c r="S73" t="s">
        <v>31</v>
      </c>
      <c r="T73">
        <v>2017</v>
      </c>
      <c r="U73" s="1">
        <v>45901.600802198707</v>
      </c>
      <c r="V73" t="s">
        <v>32</v>
      </c>
      <c r="W73" t="s">
        <v>97</v>
      </c>
      <c r="X73">
        <v>1.0899943345079</v>
      </c>
      <c r="Y73">
        <v>1.176158904509401</v>
      </c>
      <c r="Z73">
        <v>0.82564038783311844</v>
      </c>
      <c r="AA73">
        <v>2.642045454545455</v>
      </c>
      <c r="AB73">
        <v>0.78190564876422286</v>
      </c>
    </row>
    <row r="74" spans="1:28" x14ac:dyDescent="0.25">
      <c r="A74">
        <v>2</v>
      </c>
      <c r="B74">
        <v>31</v>
      </c>
      <c r="C74">
        <v>10</v>
      </c>
      <c r="D74">
        <v>629</v>
      </c>
      <c r="E74">
        <v>34</v>
      </c>
      <c r="F74">
        <v>7</v>
      </c>
      <c r="G74">
        <v>4.3384291604161263</v>
      </c>
      <c r="H74" t="s">
        <v>48</v>
      </c>
      <c r="I74" t="s">
        <v>35</v>
      </c>
      <c r="J74">
        <v>0</v>
      </c>
      <c r="K74">
        <v>45</v>
      </c>
      <c r="L74" t="s">
        <v>64</v>
      </c>
      <c r="M74">
        <v>2301</v>
      </c>
      <c r="N74">
        <v>2.281341135501862</v>
      </c>
      <c r="O74">
        <v>8.9054443016648293</v>
      </c>
      <c r="P74">
        <v>4.4654301395639777</v>
      </c>
      <c r="Q74">
        <v>8.3660805337131023</v>
      </c>
      <c r="R74">
        <v>5</v>
      </c>
      <c r="S74" t="s">
        <v>31</v>
      </c>
      <c r="T74">
        <v>2017</v>
      </c>
      <c r="U74" s="1">
        <v>45901.600802198707</v>
      </c>
      <c r="V74" t="s">
        <v>32</v>
      </c>
      <c r="W74" t="s">
        <v>97</v>
      </c>
      <c r="X74">
        <v>1.1229086007680209</v>
      </c>
      <c r="Y74">
        <v>1.6134872187998539</v>
      </c>
      <c r="Z74">
        <v>1.094555698335171</v>
      </c>
      <c r="AA74">
        <v>1.7601043024771841</v>
      </c>
      <c r="AB74">
        <v>0.34832246290735969</v>
      </c>
    </row>
    <row r="75" spans="1:28" x14ac:dyDescent="0.25">
      <c r="A75">
        <v>7</v>
      </c>
      <c r="B75">
        <v>29</v>
      </c>
      <c r="C75">
        <v>10</v>
      </c>
      <c r="D75">
        <v>838</v>
      </c>
      <c r="E75">
        <v>49</v>
      </c>
      <c r="F75">
        <v>10</v>
      </c>
      <c r="G75">
        <v>11.51815499179065</v>
      </c>
      <c r="H75" t="s">
        <v>67</v>
      </c>
      <c r="I75" t="s">
        <v>35</v>
      </c>
      <c r="J75">
        <v>1</v>
      </c>
      <c r="K75">
        <v>70</v>
      </c>
      <c r="L75" t="s">
        <v>82</v>
      </c>
      <c r="M75">
        <v>2230</v>
      </c>
      <c r="N75">
        <v>5.2502201851457357</v>
      </c>
      <c r="O75">
        <v>11.51815499179065</v>
      </c>
      <c r="P75">
        <v>6.3512532347813249</v>
      </c>
      <c r="Q75">
        <v>21.158781994134191</v>
      </c>
      <c r="R75">
        <v>3</v>
      </c>
      <c r="S75" t="s">
        <v>31</v>
      </c>
      <c r="T75">
        <v>2017</v>
      </c>
      <c r="U75" s="1">
        <v>45901.600802198707</v>
      </c>
      <c r="V75" t="s">
        <v>32</v>
      </c>
      <c r="W75" t="s">
        <v>97</v>
      </c>
      <c r="X75">
        <v>0.86819460296612705</v>
      </c>
      <c r="Y75">
        <v>0.86819460296612705</v>
      </c>
      <c r="Z75">
        <v>-1.5181549917906521</v>
      </c>
      <c r="AA75">
        <v>2.825112107623319</v>
      </c>
      <c r="AB75">
        <v>0.46485827321128192</v>
      </c>
    </row>
    <row r="76" spans="1:28" x14ac:dyDescent="0.25">
      <c r="A76">
        <v>1</v>
      </c>
      <c r="B76">
        <v>24</v>
      </c>
      <c r="C76">
        <v>10</v>
      </c>
      <c r="D76">
        <v>4456</v>
      </c>
      <c r="E76">
        <v>11</v>
      </c>
      <c r="F76">
        <v>10</v>
      </c>
      <c r="G76">
        <v>7.6394967213273048</v>
      </c>
      <c r="H76" t="s">
        <v>106</v>
      </c>
      <c r="I76" t="s">
        <v>29</v>
      </c>
      <c r="J76">
        <v>0</v>
      </c>
      <c r="K76">
        <v>40</v>
      </c>
      <c r="L76" t="s">
        <v>62</v>
      </c>
      <c r="M76">
        <v>1639</v>
      </c>
      <c r="N76">
        <v>0.6027080062776804</v>
      </c>
      <c r="O76">
        <v>7.6394967213273048</v>
      </c>
      <c r="P76">
        <v>1.0223262058570981</v>
      </c>
      <c r="Q76">
        <v>7.5948916710913181</v>
      </c>
      <c r="R76">
        <v>1</v>
      </c>
      <c r="S76" t="s">
        <v>31</v>
      </c>
      <c r="T76">
        <v>2017</v>
      </c>
      <c r="U76" s="1">
        <v>45901.600802198707</v>
      </c>
      <c r="V76" t="s">
        <v>32</v>
      </c>
      <c r="W76" t="s">
        <v>97</v>
      </c>
      <c r="X76">
        <v>1.308986751978418</v>
      </c>
      <c r="Y76">
        <v>1.308986751978418</v>
      </c>
      <c r="Z76">
        <v>2.3605032786726952</v>
      </c>
      <c r="AA76">
        <v>2.196461256863941</v>
      </c>
      <c r="AB76">
        <v>0.41949646425836329</v>
      </c>
    </row>
    <row r="77" spans="1:28" x14ac:dyDescent="0.25">
      <c r="A77">
        <v>5</v>
      </c>
      <c r="B77">
        <v>36</v>
      </c>
      <c r="C77">
        <v>22</v>
      </c>
      <c r="D77">
        <v>318</v>
      </c>
      <c r="E77">
        <v>33</v>
      </c>
      <c r="F77">
        <v>18</v>
      </c>
      <c r="G77">
        <v>19.744131192564961</v>
      </c>
      <c r="H77" t="s">
        <v>105</v>
      </c>
      <c r="I77" t="s">
        <v>35</v>
      </c>
      <c r="J77">
        <v>0</v>
      </c>
      <c r="K77">
        <v>94</v>
      </c>
      <c r="L77" t="s">
        <v>42</v>
      </c>
      <c r="M77">
        <v>2740</v>
      </c>
      <c r="N77">
        <v>4.9898480754345664</v>
      </c>
      <c r="O77">
        <v>23.549973130226132</v>
      </c>
      <c r="P77">
        <v>6.4836399042978883</v>
      </c>
      <c r="Q77">
        <v>26.582433130592111</v>
      </c>
      <c r="R77">
        <v>0</v>
      </c>
      <c r="S77" t="s">
        <v>31</v>
      </c>
      <c r="T77">
        <v>2018</v>
      </c>
      <c r="U77" s="1">
        <v>45901.600802198707</v>
      </c>
      <c r="V77" t="s">
        <v>32</v>
      </c>
      <c r="W77" t="s">
        <v>107</v>
      </c>
      <c r="X77">
        <v>0.9341836561063096</v>
      </c>
      <c r="Y77">
        <v>0.91166331019813363</v>
      </c>
      <c r="Z77">
        <v>-1.5499731302261319</v>
      </c>
      <c r="AA77">
        <v>3.0875912408759132</v>
      </c>
      <c r="AB77">
        <v>0.7735392634015883</v>
      </c>
    </row>
    <row r="78" spans="1:28" x14ac:dyDescent="0.25">
      <c r="A78">
        <v>1</v>
      </c>
      <c r="B78">
        <v>36</v>
      </c>
      <c r="C78">
        <v>22</v>
      </c>
      <c r="D78">
        <v>838</v>
      </c>
      <c r="E78">
        <v>45</v>
      </c>
      <c r="F78">
        <v>22</v>
      </c>
      <c r="G78">
        <v>16.762798666954041</v>
      </c>
      <c r="H78" t="s">
        <v>67</v>
      </c>
      <c r="I78" t="s">
        <v>35</v>
      </c>
      <c r="J78">
        <v>0</v>
      </c>
      <c r="K78">
        <v>87</v>
      </c>
      <c r="L78" t="s">
        <v>82</v>
      </c>
      <c r="M78">
        <v>3100</v>
      </c>
      <c r="N78">
        <v>5.1237351512536407</v>
      </c>
      <c r="O78">
        <v>16.762798666954041</v>
      </c>
      <c r="P78">
        <v>8.4850835595279932</v>
      </c>
      <c r="Q78">
        <v>28.40134816616774</v>
      </c>
      <c r="R78">
        <v>2</v>
      </c>
      <c r="S78" t="s">
        <v>31</v>
      </c>
      <c r="T78">
        <v>2018</v>
      </c>
      <c r="U78" s="1">
        <v>45901.600802198707</v>
      </c>
      <c r="V78" t="s">
        <v>32</v>
      </c>
      <c r="W78" t="s">
        <v>107</v>
      </c>
      <c r="X78">
        <v>1.3124300086816949</v>
      </c>
      <c r="Y78">
        <v>1.3124300086816949</v>
      </c>
      <c r="Z78">
        <v>5.2372013330459586</v>
      </c>
      <c r="AA78">
        <v>2.5258064516129028</v>
      </c>
      <c r="AB78">
        <v>0.48666189678253668</v>
      </c>
    </row>
    <row r="79" spans="1:28" x14ac:dyDescent="0.25">
      <c r="A79">
        <v>8</v>
      </c>
      <c r="B79">
        <v>38</v>
      </c>
      <c r="C79">
        <v>22</v>
      </c>
      <c r="D79">
        <v>1250</v>
      </c>
      <c r="E79">
        <v>68</v>
      </c>
      <c r="F79">
        <v>19</v>
      </c>
      <c r="G79">
        <v>19.50894832238555</v>
      </c>
      <c r="H79" t="s">
        <v>96</v>
      </c>
      <c r="I79" t="s">
        <v>29</v>
      </c>
      <c r="J79">
        <v>0</v>
      </c>
      <c r="K79">
        <v>137</v>
      </c>
      <c r="L79" t="s">
        <v>82</v>
      </c>
      <c r="M79">
        <v>3274</v>
      </c>
      <c r="N79">
        <v>10.468590896576639</v>
      </c>
      <c r="O79">
        <v>21.792449351400141</v>
      </c>
      <c r="P79">
        <v>7.8659413754940033</v>
      </c>
      <c r="Q79">
        <v>31.780287772417068</v>
      </c>
      <c r="R79">
        <v>1</v>
      </c>
      <c r="S79" t="s">
        <v>31</v>
      </c>
      <c r="T79">
        <v>2018</v>
      </c>
      <c r="U79" s="1">
        <v>45901.600802198707</v>
      </c>
      <c r="V79" t="s">
        <v>32</v>
      </c>
      <c r="W79" t="s">
        <v>107</v>
      </c>
      <c r="X79">
        <v>1.0095239706768679</v>
      </c>
      <c r="Y79">
        <v>0.97391205748381848</v>
      </c>
      <c r="Z79">
        <v>0.20755064859986311</v>
      </c>
      <c r="AA79">
        <v>3.7660354306658519</v>
      </c>
      <c r="AB79">
        <v>0.5990593896230948</v>
      </c>
    </row>
    <row r="80" spans="1:28" x14ac:dyDescent="0.25">
      <c r="A80">
        <v>8</v>
      </c>
      <c r="B80">
        <v>33</v>
      </c>
      <c r="C80">
        <v>21</v>
      </c>
      <c r="D80">
        <v>619</v>
      </c>
      <c r="E80">
        <v>34</v>
      </c>
      <c r="F80">
        <v>19</v>
      </c>
      <c r="G80">
        <v>18.426822580397129</v>
      </c>
      <c r="H80" t="s">
        <v>28</v>
      </c>
      <c r="I80" t="s">
        <v>29</v>
      </c>
      <c r="J80">
        <v>0</v>
      </c>
      <c r="K80">
        <v>118</v>
      </c>
      <c r="L80" t="s">
        <v>30</v>
      </c>
      <c r="M80">
        <v>2515</v>
      </c>
      <c r="N80">
        <v>5.2292435504496098</v>
      </c>
      <c r="O80">
        <v>19.94916149228812</v>
      </c>
      <c r="P80">
        <v>8.1009930893778801</v>
      </c>
      <c r="Q80">
        <v>28.700228951871399</v>
      </c>
      <c r="R80">
        <v>3</v>
      </c>
      <c r="S80" t="s">
        <v>31</v>
      </c>
      <c r="T80">
        <v>2018</v>
      </c>
      <c r="U80" s="1">
        <v>45901.600802198707</v>
      </c>
      <c r="V80" t="s">
        <v>32</v>
      </c>
      <c r="W80" t="s">
        <v>107</v>
      </c>
      <c r="X80">
        <v>1.0526758233982969</v>
      </c>
      <c r="Y80">
        <v>1.031105602558557</v>
      </c>
      <c r="Z80">
        <v>1.05083850771188</v>
      </c>
      <c r="AA80">
        <v>4.2226640159045727</v>
      </c>
      <c r="AB80">
        <v>0.71388649475384924</v>
      </c>
    </row>
    <row r="81" spans="1:28" x14ac:dyDescent="0.25">
      <c r="A81">
        <v>4</v>
      </c>
      <c r="B81">
        <v>34</v>
      </c>
      <c r="C81">
        <v>18</v>
      </c>
      <c r="D81">
        <v>755</v>
      </c>
      <c r="E81">
        <v>32</v>
      </c>
      <c r="F81">
        <v>14</v>
      </c>
      <c r="G81">
        <v>15.31013594381511</v>
      </c>
      <c r="H81" t="s">
        <v>70</v>
      </c>
      <c r="I81" t="s">
        <v>29</v>
      </c>
      <c r="J81">
        <v>1</v>
      </c>
      <c r="K81">
        <v>79</v>
      </c>
      <c r="L81" t="s">
        <v>56</v>
      </c>
      <c r="M81">
        <v>2740</v>
      </c>
      <c r="N81">
        <v>5.1373315351083884</v>
      </c>
      <c r="O81">
        <v>19.11597968637944</v>
      </c>
      <c r="P81">
        <v>1.9056932497769601</v>
      </c>
      <c r="Q81">
        <v>20.782567070797089</v>
      </c>
      <c r="R81">
        <v>3</v>
      </c>
      <c r="S81" t="s">
        <v>31</v>
      </c>
      <c r="T81">
        <v>2018</v>
      </c>
      <c r="U81" s="1">
        <v>45901.600802198707</v>
      </c>
      <c r="V81" t="s">
        <v>32</v>
      </c>
      <c r="W81" t="s">
        <v>107</v>
      </c>
      <c r="X81">
        <v>0.94162058630065404</v>
      </c>
      <c r="Y81">
        <v>0.91442689022337698</v>
      </c>
      <c r="Z81">
        <v>-1.11597968637944</v>
      </c>
      <c r="AA81">
        <v>2.5948905109489049</v>
      </c>
      <c r="AB81">
        <v>0.62789714298326627</v>
      </c>
    </row>
    <row r="82" spans="1:28" x14ac:dyDescent="0.25">
      <c r="A82">
        <v>10</v>
      </c>
      <c r="B82">
        <v>34</v>
      </c>
      <c r="C82">
        <v>17</v>
      </c>
      <c r="D82">
        <v>618</v>
      </c>
      <c r="E82">
        <v>66</v>
      </c>
      <c r="F82">
        <v>17</v>
      </c>
      <c r="G82">
        <v>15.90765044093132</v>
      </c>
      <c r="H82" t="s">
        <v>98</v>
      </c>
      <c r="I82" t="s">
        <v>35</v>
      </c>
      <c r="J82">
        <v>0</v>
      </c>
      <c r="K82">
        <v>77</v>
      </c>
      <c r="L82" t="s">
        <v>30</v>
      </c>
      <c r="M82">
        <v>2788</v>
      </c>
      <c r="N82">
        <v>10.79203233867884</v>
      </c>
      <c r="O82">
        <v>15.90765044093132</v>
      </c>
      <c r="P82">
        <v>12.63253226876259</v>
      </c>
      <c r="Q82">
        <v>33.021934136748307</v>
      </c>
      <c r="R82">
        <v>3</v>
      </c>
      <c r="S82" t="s">
        <v>31</v>
      </c>
      <c r="T82">
        <v>2018</v>
      </c>
      <c r="U82" s="1">
        <v>45901.600802198707</v>
      </c>
      <c r="V82" t="s">
        <v>32</v>
      </c>
      <c r="W82" t="s">
        <v>107</v>
      </c>
      <c r="X82">
        <v>1.068668189757175</v>
      </c>
      <c r="Y82">
        <v>1.068668189757175</v>
      </c>
      <c r="Z82">
        <v>1.09234955906868</v>
      </c>
      <c r="AA82">
        <v>2.4856527977044478</v>
      </c>
      <c r="AB82">
        <v>0.51351812757669257</v>
      </c>
    </row>
    <row r="83" spans="1:28" x14ac:dyDescent="0.25">
      <c r="A83">
        <v>4</v>
      </c>
      <c r="B83">
        <v>28</v>
      </c>
      <c r="C83">
        <v>17</v>
      </c>
      <c r="D83">
        <v>647</v>
      </c>
      <c r="E83">
        <v>30</v>
      </c>
      <c r="F83">
        <v>13</v>
      </c>
      <c r="G83">
        <v>13.07775489799678</v>
      </c>
      <c r="H83" t="s">
        <v>34</v>
      </c>
      <c r="I83" t="s">
        <v>29</v>
      </c>
      <c r="J83">
        <v>0</v>
      </c>
      <c r="K83">
        <v>102</v>
      </c>
      <c r="L83" t="s">
        <v>36</v>
      </c>
      <c r="M83">
        <v>2437</v>
      </c>
      <c r="N83">
        <v>4.562664708122611</v>
      </c>
      <c r="O83">
        <v>16.122393293306231</v>
      </c>
      <c r="P83">
        <v>4.8411656487733126</v>
      </c>
      <c r="Q83">
        <v>18.8382309563458</v>
      </c>
      <c r="R83">
        <v>5</v>
      </c>
      <c r="S83" t="s">
        <v>31</v>
      </c>
      <c r="T83">
        <v>2018</v>
      </c>
      <c r="U83" s="1">
        <v>45901.600802198707</v>
      </c>
      <c r="V83" t="s">
        <v>32</v>
      </c>
      <c r="W83" t="s">
        <v>107</v>
      </c>
      <c r="X83">
        <v>1.0544340217192281</v>
      </c>
      <c r="Y83">
        <v>0.99405441540973571</v>
      </c>
      <c r="Z83">
        <v>0.8776067066937685</v>
      </c>
      <c r="AA83">
        <v>3.7669265490356998</v>
      </c>
      <c r="AB83">
        <v>0.59541050324068967</v>
      </c>
    </row>
    <row r="84" spans="1:28" x14ac:dyDescent="0.25">
      <c r="A84">
        <v>15</v>
      </c>
      <c r="B84">
        <v>37</v>
      </c>
      <c r="C84">
        <v>16</v>
      </c>
      <c r="D84">
        <v>701</v>
      </c>
      <c r="E84">
        <v>98</v>
      </c>
      <c r="F84">
        <v>12</v>
      </c>
      <c r="G84">
        <v>9.2543314713984728</v>
      </c>
      <c r="H84" t="s">
        <v>89</v>
      </c>
      <c r="I84" t="s">
        <v>29</v>
      </c>
      <c r="J84">
        <v>0</v>
      </c>
      <c r="K84">
        <v>93</v>
      </c>
      <c r="L84" t="s">
        <v>38</v>
      </c>
      <c r="M84">
        <v>2935</v>
      </c>
      <c r="N84">
        <v>11.57038575503975</v>
      </c>
      <c r="O84">
        <v>12.299006434157491</v>
      </c>
      <c r="P84">
        <v>11.54657090082765</v>
      </c>
      <c r="Q84">
        <v>25.328698812052611</v>
      </c>
      <c r="R84">
        <v>2</v>
      </c>
      <c r="S84" t="s">
        <v>31</v>
      </c>
      <c r="T84">
        <v>2018</v>
      </c>
      <c r="U84" s="1">
        <v>45901.600802198707</v>
      </c>
      <c r="V84" t="s">
        <v>32</v>
      </c>
      <c r="W84" t="s">
        <v>107</v>
      </c>
      <c r="X84">
        <v>1.3009180933155631</v>
      </c>
      <c r="Y84">
        <v>1.296690099883208</v>
      </c>
      <c r="Z84">
        <v>3.7009935658425088</v>
      </c>
      <c r="AA84">
        <v>2.8517887563884159</v>
      </c>
      <c r="AB84">
        <v>0.37714159423310872</v>
      </c>
    </row>
    <row r="85" spans="1:28" x14ac:dyDescent="0.25">
      <c r="A85">
        <v>9</v>
      </c>
      <c r="B85">
        <v>30</v>
      </c>
      <c r="C85">
        <v>14</v>
      </c>
      <c r="D85">
        <v>468</v>
      </c>
      <c r="E85">
        <v>31</v>
      </c>
      <c r="F85">
        <v>13</v>
      </c>
      <c r="G85">
        <v>14.494168512523171</v>
      </c>
      <c r="H85" t="s">
        <v>108</v>
      </c>
      <c r="I85" t="s">
        <v>29</v>
      </c>
      <c r="J85">
        <v>0</v>
      </c>
      <c r="K85">
        <v>65</v>
      </c>
      <c r="L85" t="s">
        <v>88</v>
      </c>
      <c r="M85">
        <v>2548</v>
      </c>
      <c r="N85">
        <v>5.9559564711526036</v>
      </c>
      <c r="O85">
        <v>16.01651244610548</v>
      </c>
      <c r="P85">
        <v>5.0613322071731091</v>
      </c>
      <c r="Q85">
        <v>21.330361220985651</v>
      </c>
      <c r="R85">
        <v>3</v>
      </c>
      <c r="S85" t="s">
        <v>31</v>
      </c>
      <c r="T85">
        <v>2018</v>
      </c>
      <c r="U85" s="1">
        <v>45901.600802198707</v>
      </c>
      <c r="V85" t="s">
        <v>32</v>
      </c>
      <c r="W85" t="s">
        <v>107</v>
      </c>
      <c r="X85">
        <v>0.87409790658915831</v>
      </c>
      <c r="Y85">
        <v>0.89691243680296728</v>
      </c>
      <c r="Z85">
        <v>-2.0165124461054802</v>
      </c>
      <c r="AA85">
        <v>2.295918367346939</v>
      </c>
      <c r="AB85">
        <v>0.5657323862439142</v>
      </c>
    </row>
    <row r="86" spans="1:28" x14ac:dyDescent="0.25">
      <c r="A86">
        <v>6</v>
      </c>
      <c r="B86">
        <v>38</v>
      </c>
      <c r="C86">
        <v>13</v>
      </c>
      <c r="D86">
        <v>714</v>
      </c>
      <c r="E86">
        <v>74</v>
      </c>
      <c r="F86">
        <v>11</v>
      </c>
      <c r="G86">
        <v>8.3126488458365202</v>
      </c>
      <c r="H86" t="s">
        <v>79</v>
      </c>
      <c r="I86" t="s">
        <v>35</v>
      </c>
      <c r="J86">
        <v>0</v>
      </c>
      <c r="K86">
        <v>86</v>
      </c>
      <c r="L86" t="s">
        <v>64</v>
      </c>
      <c r="M86">
        <v>3150</v>
      </c>
      <c r="N86">
        <v>6.7911056773737073</v>
      </c>
      <c r="O86">
        <v>12.118331415578719</v>
      </c>
      <c r="P86">
        <v>5.1546400412917137</v>
      </c>
      <c r="Q86">
        <v>15.66706788353622</v>
      </c>
      <c r="R86">
        <v>3</v>
      </c>
      <c r="S86" t="s">
        <v>31</v>
      </c>
      <c r="T86">
        <v>2018</v>
      </c>
      <c r="U86" s="1">
        <v>45901.600802198707</v>
      </c>
      <c r="V86" t="s">
        <v>32</v>
      </c>
      <c r="W86" t="s">
        <v>107</v>
      </c>
      <c r="X86">
        <v>1.0727549490260551</v>
      </c>
      <c r="Y86">
        <v>1.323284575591025</v>
      </c>
      <c r="Z86">
        <v>0.88166858442127527</v>
      </c>
      <c r="AA86">
        <v>2.4571428571428569</v>
      </c>
      <c r="AB86">
        <v>0.34623804044510642</v>
      </c>
    </row>
    <row r="87" spans="1:28" x14ac:dyDescent="0.25">
      <c r="A87">
        <v>1</v>
      </c>
      <c r="B87">
        <v>38</v>
      </c>
      <c r="C87">
        <v>13</v>
      </c>
      <c r="D87">
        <v>882</v>
      </c>
      <c r="E87">
        <v>12</v>
      </c>
      <c r="F87">
        <v>9</v>
      </c>
      <c r="G87">
        <v>8.4966692486777902</v>
      </c>
      <c r="H87" t="s">
        <v>102</v>
      </c>
      <c r="I87" t="s">
        <v>29</v>
      </c>
      <c r="J87">
        <v>0</v>
      </c>
      <c r="K87">
        <v>54</v>
      </c>
      <c r="L87" t="s">
        <v>103</v>
      </c>
      <c r="M87">
        <v>2517</v>
      </c>
      <c r="N87">
        <v>1.118022283539176</v>
      </c>
      <c r="O87">
        <v>11.541342769749461</v>
      </c>
      <c r="P87">
        <v>1.396012045443058</v>
      </c>
      <c r="Q87">
        <v>8.4280369393527508</v>
      </c>
      <c r="R87">
        <v>5</v>
      </c>
      <c r="S87" t="s">
        <v>31</v>
      </c>
      <c r="T87">
        <v>2018</v>
      </c>
      <c r="U87" s="1">
        <v>45901.600802198707</v>
      </c>
      <c r="V87" t="s">
        <v>32</v>
      </c>
      <c r="W87" t="s">
        <v>107</v>
      </c>
      <c r="X87">
        <v>1.126385400672248</v>
      </c>
      <c r="Y87">
        <v>1.059238595335523</v>
      </c>
      <c r="Z87">
        <v>1.4586572302505361</v>
      </c>
      <c r="AA87">
        <v>1.930870083432658</v>
      </c>
      <c r="AB87">
        <v>0.41268210142131567</v>
      </c>
    </row>
    <row r="88" spans="1:28" x14ac:dyDescent="0.25">
      <c r="A88">
        <v>8</v>
      </c>
      <c r="B88">
        <v>35</v>
      </c>
      <c r="C88">
        <v>13</v>
      </c>
      <c r="D88">
        <v>3277</v>
      </c>
      <c r="E88">
        <v>31</v>
      </c>
      <c r="F88">
        <v>13</v>
      </c>
      <c r="G88">
        <v>12.033688011579221</v>
      </c>
      <c r="H88" t="s">
        <v>99</v>
      </c>
      <c r="I88" t="s">
        <v>29</v>
      </c>
      <c r="J88">
        <v>0</v>
      </c>
      <c r="K88">
        <v>81</v>
      </c>
      <c r="L88" t="s">
        <v>42</v>
      </c>
      <c r="M88">
        <v>2498</v>
      </c>
      <c r="N88">
        <v>4.1001508189365268</v>
      </c>
      <c r="O88">
        <v>12.033688011579221</v>
      </c>
      <c r="P88">
        <v>8.8137978902086616</v>
      </c>
      <c r="Q88">
        <v>22.075848444364961</v>
      </c>
      <c r="R88">
        <v>2</v>
      </c>
      <c r="S88" t="s">
        <v>31</v>
      </c>
      <c r="T88">
        <v>2018</v>
      </c>
      <c r="U88" s="1">
        <v>45901.600802198707</v>
      </c>
      <c r="V88" t="s">
        <v>32</v>
      </c>
      <c r="W88" t="s">
        <v>107</v>
      </c>
      <c r="X88">
        <v>1.0803005684949589</v>
      </c>
      <c r="Y88">
        <v>1.0803005684949589</v>
      </c>
      <c r="Z88">
        <v>0.96631198842078447</v>
      </c>
      <c r="AA88">
        <v>2.9183346677341868</v>
      </c>
      <c r="AB88">
        <v>0.43355961610973948</v>
      </c>
    </row>
    <row r="89" spans="1:28" x14ac:dyDescent="0.25">
      <c r="A89">
        <v>7</v>
      </c>
      <c r="B89">
        <v>38</v>
      </c>
      <c r="C89">
        <v>13</v>
      </c>
      <c r="D89">
        <v>4105</v>
      </c>
      <c r="E89">
        <v>42</v>
      </c>
      <c r="F89">
        <v>11</v>
      </c>
      <c r="G89">
        <v>12.75125465542078</v>
      </c>
      <c r="H89" t="s">
        <v>109</v>
      </c>
      <c r="I89" t="s">
        <v>35</v>
      </c>
      <c r="J89">
        <v>0</v>
      </c>
      <c r="K89">
        <v>111</v>
      </c>
      <c r="L89" t="s">
        <v>110</v>
      </c>
      <c r="M89">
        <v>3143</v>
      </c>
      <c r="N89">
        <v>6.9911274015903473</v>
      </c>
      <c r="O89">
        <v>14.27359064668417</v>
      </c>
      <c r="P89">
        <v>4.3379602590575814</v>
      </c>
      <c r="Q89">
        <v>20.917925838381048</v>
      </c>
      <c r="R89">
        <v>4</v>
      </c>
      <c r="S89" t="s">
        <v>31</v>
      </c>
      <c r="T89">
        <v>2018</v>
      </c>
      <c r="U89" s="1">
        <v>45901.600802198707</v>
      </c>
      <c r="V89" t="s">
        <v>32</v>
      </c>
      <c r="W89" t="s">
        <v>107</v>
      </c>
      <c r="X89">
        <v>0.91077293175841278</v>
      </c>
      <c r="Y89">
        <v>0.86266020852494762</v>
      </c>
      <c r="Z89">
        <v>-1.27359064668417</v>
      </c>
      <c r="AA89">
        <v>3.178491886732421</v>
      </c>
      <c r="AB89">
        <v>0.40872515373896767</v>
      </c>
    </row>
    <row r="90" spans="1:28" x14ac:dyDescent="0.25">
      <c r="A90">
        <v>1</v>
      </c>
      <c r="B90">
        <v>35</v>
      </c>
      <c r="C90">
        <v>13</v>
      </c>
      <c r="D90">
        <v>6026</v>
      </c>
      <c r="E90">
        <v>20</v>
      </c>
      <c r="F90">
        <v>13</v>
      </c>
      <c r="G90">
        <v>11.333980564028019</v>
      </c>
      <c r="H90" t="s">
        <v>111</v>
      </c>
      <c r="I90" t="s">
        <v>35</v>
      </c>
      <c r="J90">
        <v>1</v>
      </c>
      <c r="K90">
        <v>82</v>
      </c>
      <c r="L90" t="s">
        <v>64</v>
      </c>
      <c r="M90">
        <v>2702</v>
      </c>
      <c r="N90">
        <v>1.9562375629320741</v>
      </c>
      <c r="O90">
        <v>11.333980564028019</v>
      </c>
      <c r="P90">
        <v>5.100169887766242</v>
      </c>
      <c r="Q90">
        <v>13.4003473892808</v>
      </c>
      <c r="R90">
        <v>5</v>
      </c>
      <c r="S90" t="s">
        <v>31</v>
      </c>
      <c r="T90">
        <v>2018</v>
      </c>
      <c r="U90" s="1">
        <v>45901.600802198707</v>
      </c>
      <c r="V90" t="s">
        <v>32</v>
      </c>
      <c r="W90" t="s">
        <v>107</v>
      </c>
      <c r="X90">
        <v>1.146993320357335</v>
      </c>
      <c r="Y90">
        <v>1.146993320357335</v>
      </c>
      <c r="Z90">
        <v>1.6660194359719751</v>
      </c>
      <c r="AA90">
        <v>2.7313101406365661</v>
      </c>
      <c r="AB90">
        <v>0.37751970790618877</v>
      </c>
    </row>
    <row r="91" spans="1:28" x14ac:dyDescent="0.25">
      <c r="A91">
        <v>6</v>
      </c>
      <c r="B91">
        <v>31</v>
      </c>
      <c r="C91">
        <v>12</v>
      </c>
      <c r="D91">
        <v>453</v>
      </c>
      <c r="E91">
        <v>33</v>
      </c>
      <c r="F91">
        <v>12</v>
      </c>
      <c r="G91">
        <v>8.363056467846036</v>
      </c>
      <c r="H91" t="s">
        <v>92</v>
      </c>
      <c r="I91" t="s">
        <v>35</v>
      </c>
      <c r="J91">
        <v>1</v>
      </c>
      <c r="K91">
        <v>74</v>
      </c>
      <c r="L91" t="s">
        <v>36</v>
      </c>
      <c r="M91">
        <v>2061</v>
      </c>
      <c r="N91">
        <v>3.965310787782073</v>
      </c>
      <c r="O91">
        <v>8.363056467846036</v>
      </c>
      <c r="P91">
        <v>6.0267862156033516</v>
      </c>
      <c r="Q91">
        <v>16.200814746320251</v>
      </c>
      <c r="R91">
        <v>2</v>
      </c>
      <c r="S91" t="s">
        <v>31</v>
      </c>
      <c r="T91">
        <v>2018</v>
      </c>
      <c r="U91" s="1">
        <v>45901.600802198707</v>
      </c>
      <c r="V91" t="s">
        <v>32</v>
      </c>
      <c r="W91" t="s">
        <v>107</v>
      </c>
      <c r="X91">
        <v>1.434882096771336</v>
      </c>
      <c r="Y91">
        <v>1.434882096771336</v>
      </c>
      <c r="Z91">
        <v>3.636943532153964</v>
      </c>
      <c r="AA91">
        <v>3.231441048034934</v>
      </c>
      <c r="AB91">
        <v>0.36519897239502341</v>
      </c>
    </row>
    <row r="92" spans="1:28" x14ac:dyDescent="0.25">
      <c r="A92">
        <v>3</v>
      </c>
      <c r="B92">
        <v>35</v>
      </c>
      <c r="C92">
        <v>12</v>
      </c>
      <c r="D92">
        <v>465</v>
      </c>
      <c r="E92">
        <v>37</v>
      </c>
      <c r="F92">
        <v>7</v>
      </c>
      <c r="G92">
        <v>8.9796473383903503</v>
      </c>
      <c r="H92" t="s">
        <v>87</v>
      </c>
      <c r="I92" t="s">
        <v>35</v>
      </c>
      <c r="J92">
        <v>0</v>
      </c>
      <c r="K92">
        <v>72</v>
      </c>
      <c r="L92" t="s">
        <v>88</v>
      </c>
      <c r="M92">
        <v>2987</v>
      </c>
      <c r="N92">
        <v>4.2579750865697861</v>
      </c>
      <c r="O92">
        <v>13.54665540903807</v>
      </c>
      <c r="P92">
        <v>8.4073854684829712</v>
      </c>
      <c r="Q92">
        <v>19.067671399563551</v>
      </c>
      <c r="R92">
        <v>3</v>
      </c>
      <c r="S92" t="s">
        <v>31</v>
      </c>
      <c r="T92">
        <v>2018</v>
      </c>
      <c r="U92" s="1">
        <v>45901.600802198707</v>
      </c>
      <c r="V92" t="s">
        <v>32</v>
      </c>
      <c r="W92" t="s">
        <v>107</v>
      </c>
      <c r="X92">
        <v>0.88582750779899744</v>
      </c>
      <c r="Y92">
        <v>0.77954063630908554</v>
      </c>
      <c r="Z92">
        <v>-1.5466554090380691</v>
      </c>
      <c r="AA92">
        <v>2.169400736524941</v>
      </c>
      <c r="AB92">
        <v>0.4081683919696773</v>
      </c>
    </row>
    <row r="93" spans="1:28" x14ac:dyDescent="0.25">
      <c r="A93">
        <v>6</v>
      </c>
      <c r="B93">
        <v>34</v>
      </c>
      <c r="C93">
        <v>12</v>
      </c>
      <c r="D93">
        <v>482</v>
      </c>
      <c r="E93">
        <v>43</v>
      </c>
      <c r="F93">
        <v>11</v>
      </c>
      <c r="G93">
        <v>12.976520961150531</v>
      </c>
      <c r="H93" t="s">
        <v>81</v>
      </c>
      <c r="I93" t="s">
        <v>35</v>
      </c>
      <c r="J93">
        <v>0</v>
      </c>
      <c r="K93">
        <v>75</v>
      </c>
      <c r="L93" t="s">
        <v>82</v>
      </c>
      <c r="M93">
        <v>2631</v>
      </c>
      <c r="N93">
        <v>6.3442881163209677</v>
      </c>
      <c r="O93">
        <v>13.737690990790719</v>
      </c>
      <c r="P93">
        <v>9.1497189747169596</v>
      </c>
      <c r="Q93">
        <v>24.345621769316491</v>
      </c>
      <c r="R93">
        <v>0</v>
      </c>
      <c r="S93" t="s">
        <v>31</v>
      </c>
      <c r="T93">
        <v>2018</v>
      </c>
      <c r="U93" s="1">
        <v>45901.600802198707</v>
      </c>
      <c r="V93" t="s">
        <v>32</v>
      </c>
      <c r="W93" t="s">
        <v>107</v>
      </c>
      <c r="X93">
        <v>0.87350923878287745</v>
      </c>
      <c r="Y93">
        <v>0.84768483270146966</v>
      </c>
      <c r="Z93">
        <v>-1.737690990790725</v>
      </c>
      <c r="AA93">
        <v>2.565564424173318</v>
      </c>
      <c r="AB93">
        <v>0.46993241701678651</v>
      </c>
    </row>
    <row r="94" spans="1:28" x14ac:dyDescent="0.25">
      <c r="A94">
        <v>0</v>
      </c>
      <c r="B94">
        <v>32</v>
      </c>
      <c r="C94">
        <v>12</v>
      </c>
      <c r="D94">
        <v>594</v>
      </c>
      <c r="E94">
        <v>21</v>
      </c>
      <c r="F94">
        <v>12</v>
      </c>
      <c r="G94">
        <v>13.105172824114559</v>
      </c>
      <c r="H94" t="s">
        <v>63</v>
      </c>
      <c r="I94" t="s">
        <v>29</v>
      </c>
      <c r="J94">
        <v>0</v>
      </c>
      <c r="K94">
        <v>55</v>
      </c>
      <c r="L94" t="s">
        <v>50</v>
      </c>
      <c r="M94">
        <v>2113</v>
      </c>
      <c r="N94">
        <v>2.320213401690125</v>
      </c>
      <c r="O94">
        <v>13.105172824114559</v>
      </c>
      <c r="P94">
        <v>5.4260068498551854</v>
      </c>
      <c r="Q94">
        <v>15.42569829523563</v>
      </c>
      <c r="R94">
        <v>4</v>
      </c>
      <c r="S94" t="s">
        <v>31</v>
      </c>
      <c r="T94">
        <v>2018</v>
      </c>
      <c r="U94" s="1">
        <v>45901.600802198707</v>
      </c>
      <c r="V94" t="s">
        <v>32</v>
      </c>
      <c r="W94" t="s">
        <v>107</v>
      </c>
      <c r="X94">
        <v>0.91566896225275618</v>
      </c>
      <c r="Y94">
        <v>0.91566896225275618</v>
      </c>
      <c r="Z94">
        <v>-1.1051728241145591</v>
      </c>
      <c r="AA94">
        <v>2.3426407950780881</v>
      </c>
      <c r="AB94">
        <v>0.55819477244217242</v>
      </c>
    </row>
    <row r="95" spans="1:28" x14ac:dyDescent="0.25">
      <c r="A95">
        <v>2</v>
      </c>
      <c r="B95">
        <v>37</v>
      </c>
      <c r="C95">
        <v>12</v>
      </c>
      <c r="D95">
        <v>770</v>
      </c>
      <c r="E95">
        <v>45</v>
      </c>
      <c r="F95">
        <v>12</v>
      </c>
      <c r="G95">
        <v>8.2946950038895011</v>
      </c>
      <c r="H95" t="s">
        <v>112</v>
      </c>
      <c r="I95" t="s">
        <v>35</v>
      </c>
      <c r="J95">
        <v>0</v>
      </c>
      <c r="K95">
        <v>55</v>
      </c>
      <c r="L95" t="s">
        <v>58</v>
      </c>
      <c r="M95">
        <v>2950</v>
      </c>
      <c r="N95">
        <v>4.0325940903276214</v>
      </c>
      <c r="O95">
        <v>8.2946950038895011</v>
      </c>
      <c r="P95">
        <v>5.6278347428888083</v>
      </c>
      <c r="Q95">
        <v>15.60524630174041</v>
      </c>
      <c r="R95">
        <v>2</v>
      </c>
      <c r="S95" t="s">
        <v>31</v>
      </c>
      <c r="T95">
        <v>2018</v>
      </c>
      <c r="U95" s="1">
        <v>45901.600802198707</v>
      </c>
      <c r="V95" t="s">
        <v>32</v>
      </c>
      <c r="W95" t="s">
        <v>107</v>
      </c>
      <c r="X95">
        <v>1.4467078047321851</v>
      </c>
      <c r="Y95">
        <v>1.4467078047321851</v>
      </c>
      <c r="Z95">
        <v>3.7053049961104989</v>
      </c>
      <c r="AA95">
        <v>1.677966101694915</v>
      </c>
      <c r="AB95">
        <v>0.25305849164408639</v>
      </c>
    </row>
    <row r="96" spans="1:28" x14ac:dyDescent="0.25">
      <c r="A96">
        <v>2</v>
      </c>
      <c r="B96">
        <v>37</v>
      </c>
      <c r="C96">
        <v>12</v>
      </c>
      <c r="D96">
        <v>4422</v>
      </c>
      <c r="E96">
        <v>22</v>
      </c>
      <c r="F96">
        <v>10</v>
      </c>
      <c r="G96">
        <v>11.735217577777799</v>
      </c>
      <c r="H96" t="s">
        <v>113</v>
      </c>
      <c r="I96" t="s">
        <v>29</v>
      </c>
      <c r="J96">
        <v>0</v>
      </c>
      <c r="K96">
        <v>65</v>
      </c>
      <c r="L96" t="s">
        <v>62</v>
      </c>
      <c r="M96">
        <v>2379</v>
      </c>
      <c r="N96">
        <v>3.640304019674657</v>
      </c>
      <c r="O96">
        <v>13.257519549690191</v>
      </c>
      <c r="P96">
        <v>2.0961148925125599</v>
      </c>
      <c r="Q96">
        <v>14.35163762047887</v>
      </c>
      <c r="R96">
        <v>8</v>
      </c>
      <c r="S96" t="s">
        <v>31</v>
      </c>
      <c r="T96">
        <v>2018</v>
      </c>
      <c r="U96" s="1">
        <v>45901.600802198707</v>
      </c>
      <c r="V96" t="s">
        <v>32</v>
      </c>
      <c r="W96" t="s">
        <v>107</v>
      </c>
      <c r="X96">
        <v>0.90514669467565856</v>
      </c>
      <c r="Y96">
        <v>0.85213588361040105</v>
      </c>
      <c r="Z96">
        <v>-1.257519549690189</v>
      </c>
      <c r="AA96">
        <v>2.459016393442623</v>
      </c>
      <c r="AB96">
        <v>0.50154550629344985</v>
      </c>
    </row>
    <row r="97" spans="1:28" x14ac:dyDescent="0.25">
      <c r="A97">
        <v>3</v>
      </c>
      <c r="B97">
        <v>37</v>
      </c>
      <c r="C97">
        <v>11</v>
      </c>
      <c r="D97">
        <v>773</v>
      </c>
      <c r="E97">
        <v>31</v>
      </c>
      <c r="F97">
        <v>10</v>
      </c>
      <c r="G97">
        <v>14.691605768166481</v>
      </c>
      <c r="H97" t="s">
        <v>114</v>
      </c>
      <c r="I97" t="s">
        <v>32</v>
      </c>
      <c r="J97">
        <v>0</v>
      </c>
      <c r="K97">
        <v>131</v>
      </c>
      <c r="L97" t="s">
        <v>115</v>
      </c>
      <c r="M97">
        <v>3285</v>
      </c>
      <c r="N97">
        <v>2.9691329449415211</v>
      </c>
      <c r="O97">
        <v>15.452770731411871</v>
      </c>
      <c r="P97">
        <v>5.3714687963947654</v>
      </c>
      <c r="Q97">
        <v>18.897135645151138</v>
      </c>
      <c r="R97">
        <v>7</v>
      </c>
      <c r="S97" t="s">
        <v>31</v>
      </c>
      <c r="T97">
        <v>2018</v>
      </c>
      <c r="U97" s="1">
        <v>45901.600802198707</v>
      </c>
      <c r="V97" t="s">
        <v>32</v>
      </c>
      <c r="W97" t="s">
        <v>107</v>
      </c>
      <c r="X97">
        <v>0.71184645078824405</v>
      </c>
      <c r="Y97">
        <v>0.68066079078080266</v>
      </c>
      <c r="Z97">
        <v>-4.4527707314118743</v>
      </c>
      <c r="AA97">
        <v>3.5890410958904111</v>
      </c>
      <c r="AB97">
        <v>0.42336358168251709</v>
      </c>
    </row>
    <row r="98" spans="1:28" x14ac:dyDescent="0.25">
      <c r="A98">
        <v>7</v>
      </c>
      <c r="B98">
        <v>32</v>
      </c>
      <c r="C98">
        <v>11</v>
      </c>
      <c r="D98">
        <v>813</v>
      </c>
      <c r="E98">
        <v>32</v>
      </c>
      <c r="F98">
        <v>11</v>
      </c>
      <c r="G98">
        <v>10.635385015979409</v>
      </c>
      <c r="H98" t="s">
        <v>116</v>
      </c>
      <c r="I98" t="s">
        <v>29</v>
      </c>
      <c r="J98">
        <v>0</v>
      </c>
      <c r="K98">
        <v>89</v>
      </c>
      <c r="L98" t="s">
        <v>58</v>
      </c>
      <c r="M98">
        <v>2616</v>
      </c>
      <c r="N98">
        <v>3.4131863601505761</v>
      </c>
      <c r="O98">
        <v>10.635385015979409</v>
      </c>
      <c r="P98">
        <v>4.2182673551142216</v>
      </c>
      <c r="Q98">
        <v>15.463678646832699</v>
      </c>
      <c r="R98">
        <v>1</v>
      </c>
      <c r="S98" t="s">
        <v>31</v>
      </c>
      <c r="T98">
        <v>2018</v>
      </c>
      <c r="U98" s="1">
        <v>45901.600802198707</v>
      </c>
      <c r="V98" t="s">
        <v>32</v>
      </c>
      <c r="W98" t="s">
        <v>107</v>
      </c>
      <c r="X98">
        <v>1.034283195528207</v>
      </c>
      <c r="Y98">
        <v>1.034283195528207</v>
      </c>
      <c r="Z98">
        <v>0.36461498402059078</v>
      </c>
      <c r="AA98">
        <v>3.0619266055045871</v>
      </c>
      <c r="AB98">
        <v>0.36589627348553011</v>
      </c>
    </row>
    <row r="99" spans="1:28" x14ac:dyDescent="0.25">
      <c r="A99">
        <v>10</v>
      </c>
      <c r="B99">
        <v>31</v>
      </c>
      <c r="C99">
        <v>10</v>
      </c>
      <c r="D99">
        <v>337</v>
      </c>
      <c r="E99">
        <v>40</v>
      </c>
      <c r="F99">
        <v>10</v>
      </c>
      <c r="G99">
        <v>6.9819496013224116</v>
      </c>
      <c r="H99" t="s">
        <v>117</v>
      </c>
      <c r="I99" t="s">
        <v>35</v>
      </c>
      <c r="J99">
        <v>0</v>
      </c>
      <c r="K99">
        <v>56</v>
      </c>
      <c r="L99" t="s">
        <v>30</v>
      </c>
      <c r="M99">
        <v>1866</v>
      </c>
      <c r="N99">
        <v>8.1016700090840459</v>
      </c>
      <c r="O99">
        <v>6.9819496013224116</v>
      </c>
      <c r="P99">
        <v>10.558318005874749</v>
      </c>
      <c r="Q99">
        <v>21.35402178764344</v>
      </c>
      <c r="R99">
        <v>1</v>
      </c>
      <c r="S99" t="s">
        <v>31</v>
      </c>
      <c r="T99">
        <v>2018</v>
      </c>
      <c r="U99" s="1">
        <v>45901.600802198707</v>
      </c>
      <c r="V99" t="s">
        <v>32</v>
      </c>
      <c r="W99" t="s">
        <v>107</v>
      </c>
      <c r="X99">
        <v>1.43226470699616</v>
      </c>
      <c r="Y99">
        <v>1.43226470699616</v>
      </c>
      <c r="Z99">
        <v>3.018050398677588</v>
      </c>
      <c r="AA99">
        <v>2.70096463022508</v>
      </c>
      <c r="AB99">
        <v>0.33674998077117752</v>
      </c>
    </row>
    <row r="100" spans="1:28" x14ac:dyDescent="0.25">
      <c r="A100">
        <v>5</v>
      </c>
      <c r="B100">
        <v>34</v>
      </c>
      <c r="C100">
        <v>10</v>
      </c>
      <c r="D100">
        <v>522</v>
      </c>
      <c r="E100">
        <v>54</v>
      </c>
      <c r="F100">
        <v>10</v>
      </c>
      <c r="G100">
        <v>6.4907633755356073</v>
      </c>
      <c r="H100" t="s">
        <v>118</v>
      </c>
      <c r="I100" t="s">
        <v>49</v>
      </c>
      <c r="J100">
        <v>1</v>
      </c>
      <c r="K100">
        <v>73</v>
      </c>
      <c r="L100" t="s">
        <v>90</v>
      </c>
      <c r="M100">
        <v>3046</v>
      </c>
      <c r="N100">
        <v>5.4043346270918846</v>
      </c>
      <c r="O100">
        <v>6.4907633755356073</v>
      </c>
      <c r="P100">
        <v>7.0368692371994257</v>
      </c>
      <c r="Q100">
        <v>16.55854376219213</v>
      </c>
      <c r="R100">
        <v>8</v>
      </c>
      <c r="S100" t="s">
        <v>31</v>
      </c>
      <c r="T100">
        <v>2018</v>
      </c>
      <c r="U100" s="1">
        <v>45901.600802198707</v>
      </c>
      <c r="V100" t="s">
        <v>32</v>
      </c>
      <c r="W100" t="s">
        <v>107</v>
      </c>
      <c r="X100">
        <v>1.540650832795891</v>
      </c>
      <c r="Y100">
        <v>1.540650832795891</v>
      </c>
      <c r="Z100">
        <v>3.5092366244643931</v>
      </c>
      <c r="AA100">
        <v>2.1569271175311879</v>
      </c>
      <c r="AB100">
        <v>0.19178224024891821</v>
      </c>
    </row>
    <row r="101" spans="1:28" x14ac:dyDescent="0.25">
      <c r="A101">
        <v>2</v>
      </c>
      <c r="B101">
        <v>27</v>
      </c>
      <c r="C101">
        <v>10</v>
      </c>
      <c r="D101">
        <v>553</v>
      </c>
      <c r="E101">
        <v>36</v>
      </c>
      <c r="F101">
        <v>9</v>
      </c>
      <c r="G101">
        <v>7.1933118104934692</v>
      </c>
      <c r="H101" t="s">
        <v>78</v>
      </c>
      <c r="I101" t="s">
        <v>35</v>
      </c>
      <c r="J101">
        <v>0</v>
      </c>
      <c r="K101">
        <v>39</v>
      </c>
      <c r="L101" t="s">
        <v>50</v>
      </c>
      <c r="M101">
        <v>1632</v>
      </c>
      <c r="N101">
        <v>3.24721981678158</v>
      </c>
      <c r="O101">
        <v>7.9544804096221924</v>
      </c>
      <c r="P101">
        <v>3.6007302813231949</v>
      </c>
      <c r="Q101">
        <v>11.79628611169756</v>
      </c>
      <c r="R101">
        <v>2</v>
      </c>
      <c r="S101" t="s">
        <v>31</v>
      </c>
      <c r="T101">
        <v>2018</v>
      </c>
      <c r="U101" s="1">
        <v>45901.600802198707</v>
      </c>
      <c r="V101" t="s">
        <v>32</v>
      </c>
      <c r="W101" t="s">
        <v>107</v>
      </c>
      <c r="X101">
        <v>1.257153136979686</v>
      </c>
      <c r="Y101">
        <v>1.251162223618747</v>
      </c>
      <c r="Z101">
        <v>2.0455195903778081</v>
      </c>
      <c r="AA101">
        <v>2.1507352941176472</v>
      </c>
      <c r="AB101">
        <v>0.43866619906004739</v>
      </c>
    </row>
    <row r="102" spans="1:28" x14ac:dyDescent="0.25">
      <c r="A102">
        <v>6</v>
      </c>
      <c r="B102">
        <v>33</v>
      </c>
      <c r="C102">
        <v>10</v>
      </c>
      <c r="D102">
        <v>556</v>
      </c>
      <c r="E102">
        <v>38</v>
      </c>
      <c r="F102">
        <v>10</v>
      </c>
      <c r="G102">
        <v>11.61446018330753</v>
      </c>
      <c r="H102" t="s">
        <v>119</v>
      </c>
      <c r="I102" t="s">
        <v>35</v>
      </c>
      <c r="J102">
        <v>1</v>
      </c>
      <c r="K102">
        <v>84</v>
      </c>
      <c r="L102" t="s">
        <v>50</v>
      </c>
      <c r="M102">
        <v>2360</v>
      </c>
      <c r="N102">
        <v>5.2704440783709288</v>
      </c>
      <c r="O102">
        <v>11.61446018330753</v>
      </c>
      <c r="P102">
        <v>5.2431932068429887</v>
      </c>
      <c r="Q102">
        <v>16.822122670244429</v>
      </c>
      <c r="R102">
        <v>3</v>
      </c>
      <c r="S102" t="s">
        <v>31</v>
      </c>
      <c r="T102">
        <v>2018</v>
      </c>
      <c r="U102" s="1">
        <v>45901.600802198707</v>
      </c>
      <c r="V102" t="s">
        <v>32</v>
      </c>
      <c r="W102" t="s">
        <v>107</v>
      </c>
      <c r="X102">
        <v>0.86099567626674078</v>
      </c>
      <c r="Y102">
        <v>0.86099567626674078</v>
      </c>
      <c r="Z102">
        <v>-1.6144601833075281</v>
      </c>
      <c r="AA102">
        <v>3.203389830508474</v>
      </c>
      <c r="AB102">
        <v>0.44292432902443968</v>
      </c>
    </row>
    <row r="103" spans="1:28" x14ac:dyDescent="0.25">
      <c r="A103">
        <v>5</v>
      </c>
      <c r="B103">
        <v>30</v>
      </c>
      <c r="C103">
        <v>10</v>
      </c>
      <c r="D103">
        <v>591</v>
      </c>
      <c r="E103">
        <v>30</v>
      </c>
      <c r="F103">
        <v>10</v>
      </c>
      <c r="G103">
        <v>8.334900364279747</v>
      </c>
      <c r="H103" t="s">
        <v>120</v>
      </c>
      <c r="I103" t="s">
        <v>29</v>
      </c>
      <c r="J103">
        <v>0</v>
      </c>
      <c r="K103">
        <v>60</v>
      </c>
      <c r="L103" t="s">
        <v>72</v>
      </c>
      <c r="M103">
        <v>2110</v>
      </c>
      <c r="N103">
        <v>4.9624993670731783</v>
      </c>
      <c r="O103">
        <v>8.334900364279747</v>
      </c>
      <c r="P103">
        <v>5.4338822364807129</v>
      </c>
      <c r="Q103">
        <v>15.9671234972775</v>
      </c>
      <c r="R103">
        <v>3</v>
      </c>
      <c r="S103" t="s">
        <v>31</v>
      </c>
      <c r="T103">
        <v>2018</v>
      </c>
      <c r="U103" s="1">
        <v>45901.600802198707</v>
      </c>
      <c r="V103" t="s">
        <v>32</v>
      </c>
      <c r="W103" t="s">
        <v>107</v>
      </c>
      <c r="X103">
        <v>1.1997743899682649</v>
      </c>
      <c r="Y103">
        <v>1.1997743899682649</v>
      </c>
      <c r="Z103">
        <v>1.665099635720253</v>
      </c>
      <c r="AA103">
        <v>2.5592417061611372</v>
      </c>
      <c r="AB103">
        <v>0.35551707714937308</v>
      </c>
    </row>
    <row r="104" spans="1:28" x14ac:dyDescent="0.25">
      <c r="A104">
        <v>4</v>
      </c>
      <c r="B104">
        <v>28</v>
      </c>
      <c r="C104">
        <v>10</v>
      </c>
      <c r="D104">
        <v>865</v>
      </c>
      <c r="E104">
        <v>36</v>
      </c>
      <c r="F104">
        <v>9</v>
      </c>
      <c r="G104">
        <v>8.1758127585053444</v>
      </c>
      <c r="H104" t="s">
        <v>80</v>
      </c>
      <c r="I104" t="s">
        <v>35</v>
      </c>
      <c r="J104">
        <v>0</v>
      </c>
      <c r="K104">
        <v>62</v>
      </c>
      <c r="L104" t="s">
        <v>66</v>
      </c>
      <c r="M104">
        <v>2006</v>
      </c>
      <c r="N104">
        <v>3.9999511502683158</v>
      </c>
      <c r="O104">
        <v>8.9369077906012535</v>
      </c>
      <c r="P104">
        <v>2.8474413827061649</v>
      </c>
      <c r="Q104">
        <v>12.37812562659383</v>
      </c>
      <c r="R104">
        <v>3</v>
      </c>
      <c r="S104" t="s">
        <v>31</v>
      </c>
      <c r="T104">
        <v>2018</v>
      </c>
      <c r="U104" s="1">
        <v>45901.600802198707</v>
      </c>
      <c r="V104" t="s">
        <v>32</v>
      </c>
      <c r="W104" t="s">
        <v>107</v>
      </c>
      <c r="X104">
        <v>1.118955262189991</v>
      </c>
      <c r="Y104">
        <v>1.100807988861688</v>
      </c>
      <c r="Z104">
        <v>1.063092209398746</v>
      </c>
      <c r="AA104">
        <v>2.781655034895314</v>
      </c>
      <c r="AB104">
        <v>0.40095797664711508</v>
      </c>
    </row>
    <row r="105" spans="1:28" x14ac:dyDescent="0.25">
      <c r="A105">
        <v>0</v>
      </c>
      <c r="B105">
        <v>32</v>
      </c>
      <c r="C105">
        <v>10</v>
      </c>
      <c r="D105">
        <v>3293</v>
      </c>
      <c r="E105">
        <v>27</v>
      </c>
      <c r="F105">
        <v>10</v>
      </c>
      <c r="G105">
        <v>7.5913186315447092</v>
      </c>
      <c r="H105" t="s">
        <v>121</v>
      </c>
      <c r="I105" t="s">
        <v>35</v>
      </c>
      <c r="J105">
        <v>0</v>
      </c>
      <c r="K105">
        <v>45</v>
      </c>
      <c r="L105" t="s">
        <v>36</v>
      </c>
      <c r="M105">
        <v>2133</v>
      </c>
      <c r="N105">
        <v>1.6590776890516279</v>
      </c>
      <c r="O105">
        <v>7.5913186315447092</v>
      </c>
      <c r="P105">
        <v>6.8543210104107857</v>
      </c>
      <c r="Q105">
        <v>13.822564925998449</v>
      </c>
      <c r="R105">
        <v>3</v>
      </c>
      <c r="S105" t="s">
        <v>31</v>
      </c>
      <c r="T105">
        <v>2018</v>
      </c>
      <c r="U105" s="1">
        <v>45901.600802198707</v>
      </c>
      <c r="V105" t="s">
        <v>32</v>
      </c>
      <c r="W105" t="s">
        <v>107</v>
      </c>
      <c r="X105">
        <v>1.317294199514474</v>
      </c>
      <c r="Y105">
        <v>1.317294199514474</v>
      </c>
      <c r="Z105">
        <v>2.4086813684552908</v>
      </c>
      <c r="AA105">
        <v>1.89873417721519</v>
      </c>
      <c r="AB105">
        <v>0.32030880301876408</v>
      </c>
    </row>
    <row r="106" spans="1:28" x14ac:dyDescent="0.25">
      <c r="A106">
        <v>2</v>
      </c>
      <c r="B106">
        <v>38</v>
      </c>
      <c r="C106">
        <v>10</v>
      </c>
      <c r="D106">
        <v>4456</v>
      </c>
      <c r="E106">
        <v>21</v>
      </c>
      <c r="F106">
        <v>10</v>
      </c>
      <c r="G106">
        <v>9.1332567278295755</v>
      </c>
      <c r="H106" t="s">
        <v>106</v>
      </c>
      <c r="I106" t="s">
        <v>29</v>
      </c>
      <c r="J106">
        <v>0</v>
      </c>
      <c r="K106">
        <v>58</v>
      </c>
      <c r="L106" t="s">
        <v>62</v>
      </c>
      <c r="M106">
        <v>2603</v>
      </c>
      <c r="N106">
        <v>3.6472165696322918</v>
      </c>
      <c r="O106">
        <v>9.1332567278295755</v>
      </c>
      <c r="P106">
        <v>3.554673926904798</v>
      </c>
      <c r="Q106">
        <v>11.35635371506214</v>
      </c>
      <c r="R106">
        <v>2</v>
      </c>
      <c r="S106" t="s">
        <v>31</v>
      </c>
      <c r="T106">
        <v>2018</v>
      </c>
      <c r="U106" s="1">
        <v>45901.600802198707</v>
      </c>
      <c r="V106" t="s">
        <v>32</v>
      </c>
      <c r="W106" t="s">
        <v>107</v>
      </c>
      <c r="X106">
        <v>1.094899694380582</v>
      </c>
      <c r="Y106">
        <v>1.094899694380582</v>
      </c>
      <c r="Z106">
        <v>0.86674327217042446</v>
      </c>
      <c r="AA106">
        <v>2.0053784095274678</v>
      </c>
      <c r="AB106">
        <v>0.31578682501139521</v>
      </c>
    </row>
    <row r="107" spans="1:28" x14ac:dyDescent="0.25">
      <c r="A107">
        <v>5</v>
      </c>
      <c r="B107">
        <v>35</v>
      </c>
      <c r="C107">
        <v>23</v>
      </c>
      <c r="D107">
        <v>755</v>
      </c>
      <c r="E107">
        <v>32</v>
      </c>
      <c r="F107">
        <v>19</v>
      </c>
      <c r="G107">
        <v>15.0976839363575</v>
      </c>
      <c r="H107" t="s">
        <v>70</v>
      </c>
      <c r="I107" t="s">
        <v>29</v>
      </c>
      <c r="J107">
        <v>0</v>
      </c>
      <c r="K107">
        <v>89</v>
      </c>
      <c r="L107" t="s">
        <v>56</v>
      </c>
      <c r="M107">
        <v>3034</v>
      </c>
      <c r="N107">
        <v>6.368295930325985</v>
      </c>
      <c r="O107">
        <v>18.903520427644249</v>
      </c>
      <c r="P107">
        <v>1.7243402246385811</v>
      </c>
      <c r="Q107">
        <v>21.026604628190402</v>
      </c>
      <c r="R107">
        <v>3</v>
      </c>
      <c r="S107" t="s">
        <v>31</v>
      </c>
      <c r="T107">
        <v>2019</v>
      </c>
      <c r="U107" s="1">
        <v>45901.600802198707</v>
      </c>
      <c r="V107" t="s">
        <v>32</v>
      </c>
      <c r="W107" t="s">
        <v>122</v>
      </c>
      <c r="X107">
        <v>1.216704586219036</v>
      </c>
      <c r="Y107">
        <v>1.2584711721408559</v>
      </c>
      <c r="Z107">
        <v>4.0964795723557472</v>
      </c>
      <c r="AA107">
        <v>2.6400791034937381</v>
      </c>
      <c r="AB107">
        <v>0.56075044116281569</v>
      </c>
    </row>
    <row r="108" spans="1:28" x14ac:dyDescent="0.25">
      <c r="A108">
        <v>3</v>
      </c>
      <c r="B108">
        <v>36</v>
      </c>
      <c r="C108">
        <v>22</v>
      </c>
      <c r="D108">
        <v>318</v>
      </c>
      <c r="E108">
        <v>26</v>
      </c>
      <c r="F108">
        <v>20</v>
      </c>
      <c r="G108">
        <v>14.83035868406296</v>
      </c>
      <c r="H108" t="s">
        <v>105</v>
      </c>
      <c r="I108" t="s">
        <v>35</v>
      </c>
      <c r="J108">
        <v>1</v>
      </c>
      <c r="K108">
        <v>93</v>
      </c>
      <c r="L108" t="s">
        <v>42</v>
      </c>
      <c r="M108">
        <v>3143</v>
      </c>
      <c r="N108">
        <v>4.4924865327775478</v>
      </c>
      <c r="O108">
        <v>16.35262161493301</v>
      </c>
      <c r="P108">
        <v>5.3396545629948378</v>
      </c>
      <c r="Q108">
        <v>19.964279878884561</v>
      </c>
      <c r="R108">
        <v>3</v>
      </c>
      <c r="S108" t="s">
        <v>31</v>
      </c>
      <c r="T108">
        <v>2019</v>
      </c>
      <c r="U108" s="1">
        <v>45901.600802198707</v>
      </c>
      <c r="V108" t="s">
        <v>32</v>
      </c>
      <c r="W108" t="s">
        <v>122</v>
      </c>
      <c r="X108">
        <v>1.3453500312090549</v>
      </c>
      <c r="Y108">
        <v>1.348585049496642</v>
      </c>
      <c r="Z108">
        <v>5.6473783850669861</v>
      </c>
      <c r="AA108">
        <v>2.6630607699650022</v>
      </c>
      <c r="AB108">
        <v>0.4682583345033316</v>
      </c>
    </row>
    <row r="109" spans="1:28" x14ac:dyDescent="0.25">
      <c r="A109">
        <v>2</v>
      </c>
      <c r="B109">
        <v>38</v>
      </c>
      <c r="C109">
        <v>22</v>
      </c>
      <c r="D109">
        <v>986</v>
      </c>
      <c r="E109">
        <v>35</v>
      </c>
      <c r="F109">
        <v>21</v>
      </c>
      <c r="G109">
        <v>14.13738285563886</v>
      </c>
      <c r="H109" t="s">
        <v>61</v>
      </c>
      <c r="I109" t="s">
        <v>35</v>
      </c>
      <c r="J109">
        <v>0</v>
      </c>
      <c r="K109">
        <v>93</v>
      </c>
      <c r="L109" t="s">
        <v>52</v>
      </c>
      <c r="M109">
        <v>2836</v>
      </c>
      <c r="N109">
        <v>2.8490860415622592</v>
      </c>
      <c r="O109">
        <v>15.65972055308521</v>
      </c>
      <c r="P109">
        <v>5.0159377437084913</v>
      </c>
      <c r="Q109">
        <v>18.488027464598421</v>
      </c>
      <c r="R109">
        <v>3</v>
      </c>
      <c r="S109" t="s">
        <v>31</v>
      </c>
      <c r="T109">
        <v>2019</v>
      </c>
      <c r="U109" s="1">
        <v>45901.600802198707</v>
      </c>
      <c r="V109" t="s">
        <v>32</v>
      </c>
      <c r="W109" t="s">
        <v>122</v>
      </c>
      <c r="X109">
        <v>1.4048781985235139</v>
      </c>
      <c r="Y109">
        <v>1.4854234489111191</v>
      </c>
      <c r="Z109">
        <v>6.3402794469147921</v>
      </c>
      <c r="AA109">
        <v>2.9513399153737661</v>
      </c>
      <c r="AB109">
        <v>0.49695869174106788</v>
      </c>
    </row>
    <row r="110" spans="1:28" x14ac:dyDescent="0.25">
      <c r="A110">
        <v>1</v>
      </c>
      <c r="B110">
        <v>33</v>
      </c>
      <c r="C110">
        <v>20</v>
      </c>
      <c r="D110">
        <v>618</v>
      </c>
      <c r="E110">
        <v>48</v>
      </c>
      <c r="F110">
        <v>20</v>
      </c>
      <c r="G110">
        <v>18.277569144964211</v>
      </c>
      <c r="H110" t="s">
        <v>98</v>
      </c>
      <c r="I110" t="s">
        <v>35</v>
      </c>
      <c r="J110">
        <v>0</v>
      </c>
      <c r="K110">
        <v>100</v>
      </c>
      <c r="L110" t="s">
        <v>30</v>
      </c>
      <c r="M110">
        <v>2678</v>
      </c>
      <c r="N110">
        <v>7.2085902392864227</v>
      </c>
      <c r="O110">
        <v>19.799912065267559</v>
      </c>
      <c r="P110">
        <v>10.18600430339575</v>
      </c>
      <c r="Q110">
        <v>31.442028179764751</v>
      </c>
      <c r="R110">
        <v>5</v>
      </c>
      <c r="S110" t="s">
        <v>31</v>
      </c>
      <c r="T110">
        <v>2019</v>
      </c>
      <c r="U110" s="1">
        <v>45901.600802198707</v>
      </c>
      <c r="V110" t="s">
        <v>32</v>
      </c>
      <c r="W110" t="s">
        <v>122</v>
      </c>
      <c r="X110">
        <v>1.010105496129118</v>
      </c>
      <c r="Y110">
        <v>1.0942374142521221</v>
      </c>
      <c r="Z110">
        <v>0.20008793473243711</v>
      </c>
      <c r="AA110">
        <v>3.360716952949963</v>
      </c>
      <c r="AB110">
        <v>0.66541900144663213</v>
      </c>
    </row>
    <row r="111" spans="1:28" x14ac:dyDescent="0.25">
      <c r="A111">
        <v>10</v>
      </c>
      <c r="B111">
        <v>34</v>
      </c>
      <c r="C111">
        <v>19</v>
      </c>
      <c r="D111">
        <v>1250</v>
      </c>
      <c r="E111">
        <v>60</v>
      </c>
      <c r="F111">
        <v>16</v>
      </c>
      <c r="G111">
        <v>18.37981333211064</v>
      </c>
      <c r="H111" t="s">
        <v>96</v>
      </c>
      <c r="I111" t="s">
        <v>29</v>
      </c>
      <c r="J111">
        <v>0</v>
      </c>
      <c r="K111">
        <v>132</v>
      </c>
      <c r="L111" t="s">
        <v>82</v>
      </c>
      <c r="M111">
        <v>2904</v>
      </c>
      <c r="N111">
        <v>8.7260416857898235</v>
      </c>
      <c r="O111">
        <v>20.663322348147631</v>
      </c>
      <c r="P111">
        <v>8.425027072429657</v>
      </c>
      <c r="Q111">
        <v>31.374189421534538</v>
      </c>
      <c r="R111">
        <v>1</v>
      </c>
      <c r="S111" t="s">
        <v>31</v>
      </c>
      <c r="T111">
        <v>2019</v>
      </c>
      <c r="U111" s="1">
        <v>45901.600802198707</v>
      </c>
      <c r="V111" t="s">
        <v>32</v>
      </c>
      <c r="W111" t="s">
        <v>122</v>
      </c>
      <c r="X111">
        <v>0.91950363450160566</v>
      </c>
      <c r="Y111">
        <v>0.87052026649514624</v>
      </c>
      <c r="Z111">
        <v>-1.6633223481476309</v>
      </c>
      <c r="AA111">
        <v>4.0909090909090908</v>
      </c>
      <c r="AB111">
        <v>0.64039222153350095</v>
      </c>
    </row>
    <row r="112" spans="1:28" x14ac:dyDescent="0.25">
      <c r="A112">
        <v>2</v>
      </c>
      <c r="B112">
        <v>29</v>
      </c>
      <c r="C112">
        <v>18</v>
      </c>
      <c r="D112">
        <v>647</v>
      </c>
      <c r="E112">
        <v>27</v>
      </c>
      <c r="F112">
        <v>16</v>
      </c>
      <c r="G112">
        <v>11.77476158412173</v>
      </c>
      <c r="H112" t="s">
        <v>34</v>
      </c>
      <c r="I112" t="s">
        <v>32</v>
      </c>
      <c r="J112">
        <v>0</v>
      </c>
      <c r="K112">
        <v>82</v>
      </c>
      <c r="L112" t="s">
        <v>36</v>
      </c>
      <c r="M112">
        <v>2595</v>
      </c>
      <c r="N112">
        <v>3.117006609216332</v>
      </c>
      <c r="O112">
        <v>13.29705961467698</v>
      </c>
      <c r="P112">
        <v>3.0513017745688562</v>
      </c>
      <c r="Q112">
        <v>16.854615975636989</v>
      </c>
      <c r="R112">
        <v>4</v>
      </c>
      <c r="S112" t="s">
        <v>31</v>
      </c>
      <c r="T112">
        <v>2019</v>
      </c>
      <c r="U112" s="1">
        <v>45901.600802198707</v>
      </c>
      <c r="V112" t="s">
        <v>32</v>
      </c>
      <c r="W112" t="s">
        <v>122</v>
      </c>
      <c r="X112">
        <v>1.3536827329954979</v>
      </c>
      <c r="Y112">
        <v>1.3588385536040071</v>
      </c>
      <c r="Z112">
        <v>4.7029403853230178</v>
      </c>
      <c r="AA112">
        <v>2.84393063583815</v>
      </c>
      <c r="AB112">
        <v>0.4611696976188549</v>
      </c>
    </row>
    <row r="113" spans="1:28" x14ac:dyDescent="0.25">
      <c r="A113">
        <v>7</v>
      </c>
      <c r="B113">
        <v>35</v>
      </c>
      <c r="C113">
        <v>18</v>
      </c>
      <c r="D113">
        <v>838</v>
      </c>
      <c r="E113">
        <v>59</v>
      </c>
      <c r="F113">
        <v>18</v>
      </c>
      <c r="G113">
        <v>14.57748121395707</v>
      </c>
      <c r="H113" t="s">
        <v>67</v>
      </c>
      <c r="I113" t="s">
        <v>35</v>
      </c>
      <c r="J113">
        <v>0</v>
      </c>
      <c r="K113">
        <v>77</v>
      </c>
      <c r="L113" t="s">
        <v>82</v>
      </c>
      <c r="M113">
        <v>2761</v>
      </c>
      <c r="N113">
        <v>7.235698115080595</v>
      </c>
      <c r="O113">
        <v>14.57748121395707</v>
      </c>
      <c r="P113">
        <v>6.7670179475098848</v>
      </c>
      <c r="Q113">
        <v>25.073197863996029</v>
      </c>
      <c r="R113">
        <v>3</v>
      </c>
      <c r="S113" t="s">
        <v>31</v>
      </c>
      <c r="T113">
        <v>2019</v>
      </c>
      <c r="U113" s="1">
        <v>45901.600802198707</v>
      </c>
      <c r="V113" t="s">
        <v>32</v>
      </c>
      <c r="W113" t="s">
        <v>122</v>
      </c>
      <c r="X113">
        <v>1.2347812174003061</v>
      </c>
      <c r="Y113">
        <v>1.2347812174003061</v>
      </c>
      <c r="Z113">
        <v>3.4225187860429291</v>
      </c>
      <c r="AA113">
        <v>2.5099601593625498</v>
      </c>
      <c r="AB113">
        <v>0.47518048144010733</v>
      </c>
    </row>
    <row r="114" spans="1:28" x14ac:dyDescent="0.25">
      <c r="A114">
        <v>6</v>
      </c>
      <c r="B114">
        <v>32</v>
      </c>
      <c r="C114">
        <v>17</v>
      </c>
      <c r="D114">
        <v>553</v>
      </c>
      <c r="E114">
        <v>30</v>
      </c>
      <c r="F114">
        <v>17</v>
      </c>
      <c r="G114">
        <v>12.479318222031001</v>
      </c>
      <c r="H114" t="s">
        <v>78</v>
      </c>
      <c r="I114" t="s">
        <v>29</v>
      </c>
      <c r="J114">
        <v>0</v>
      </c>
      <c r="K114">
        <v>80</v>
      </c>
      <c r="L114" t="s">
        <v>50</v>
      </c>
      <c r="M114">
        <v>2672</v>
      </c>
      <c r="N114">
        <v>4.6187753025442362</v>
      </c>
      <c r="O114">
        <v>13.2404881324619</v>
      </c>
      <c r="P114">
        <v>6.357812762260437</v>
      </c>
      <c r="Q114">
        <v>20.409552484750751</v>
      </c>
      <c r="R114">
        <v>1</v>
      </c>
      <c r="S114" t="s">
        <v>31</v>
      </c>
      <c r="T114">
        <v>2019</v>
      </c>
      <c r="U114" s="1">
        <v>45901.600802198707</v>
      </c>
      <c r="V114" t="s">
        <v>32</v>
      </c>
      <c r="W114" t="s">
        <v>122</v>
      </c>
      <c r="X114">
        <v>1.2839405790728251</v>
      </c>
      <c r="Y114">
        <v>1.362253906626741</v>
      </c>
      <c r="Z114">
        <v>3.7595118675380959</v>
      </c>
      <c r="AA114">
        <v>2.6946107784431139</v>
      </c>
      <c r="AB114">
        <v>0.44597452541974969</v>
      </c>
    </row>
    <row r="115" spans="1:28" x14ac:dyDescent="0.25">
      <c r="A115">
        <v>7</v>
      </c>
      <c r="B115">
        <v>31</v>
      </c>
      <c r="C115">
        <v>17</v>
      </c>
      <c r="D115">
        <v>556</v>
      </c>
      <c r="E115">
        <v>33</v>
      </c>
      <c r="F115">
        <v>11</v>
      </c>
      <c r="G115">
        <v>13.414411062374709</v>
      </c>
      <c r="H115" t="s">
        <v>119</v>
      </c>
      <c r="I115" t="s">
        <v>49</v>
      </c>
      <c r="J115">
        <v>0</v>
      </c>
      <c r="K115">
        <v>95</v>
      </c>
      <c r="L115" t="s">
        <v>50</v>
      </c>
      <c r="M115">
        <v>2673</v>
      </c>
      <c r="N115">
        <v>5.4571720063686371</v>
      </c>
      <c r="O115">
        <v>19.503727892413728</v>
      </c>
      <c r="P115">
        <v>5.9065735721960664</v>
      </c>
      <c r="Q115">
        <v>20.244800126180049</v>
      </c>
      <c r="R115">
        <v>3</v>
      </c>
      <c r="S115" t="s">
        <v>31</v>
      </c>
      <c r="T115">
        <v>2019</v>
      </c>
      <c r="U115" s="1">
        <v>45901.600802198707</v>
      </c>
      <c r="V115" t="s">
        <v>32</v>
      </c>
      <c r="W115" t="s">
        <v>122</v>
      </c>
      <c r="X115">
        <v>0.8716282391640835</v>
      </c>
      <c r="Y115">
        <v>0.82001363674125427</v>
      </c>
      <c r="Z115">
        <v>-2.5037278924137278</v>
      </c>
      <c r="AA115">
        <v>3.198653198653199</v>
      </c>
      <c r="AB115">
        <v>0.65669117482874506</v>
      </c>
    </row>
    <row r="116" spans="1:28" x14ac:dyDescent="0.25">
      <c r="A116">
        <v>6</v>
      </c>
      <c r="B116">
        <v>38</v>
      </c>
      <c r="C116">
        <v>17</v>
      </c>
      <c r="D116">
        <v>4105</v>
      </c>
      <c r="E116">
        <v>48</v>
      </c>
      <c r="F116">
        <v>13</v>
      </c>
      <c r="G116">
        <v>13.46612661983818</v>
      </c>
      <c r="H116" t="s">
        <v>109</v>
      </c>
      <c r="I116" t="s">
        <v>29</v>
      </c>
      <c r="J116">
        <v>0</v>
      </c>
      <c r="K116">
        <v>117</v>
      </c>
      <c r="L116" t="s">
        <v>110</v>
      </c>
      <c r="M116">
        <v>3269</v>
      </c>
      <c r="N116">
        <v>7.2269447073340416</v>
      </c>
      <c r="O116">
        <v>16.51080366875976</v>
      </c>
      <c r="P116">
        <v>5.7095356294885278</v>
      </c>
      <c r="Q116">
        <v>22.560237324796621</v>
      </c>
      <c r="R116">
        <v>3</v>
      </c>
      <c r="S116" t="s">
        <v>31</v>
      </c>
      <c r="T116">
        <v>2019</v>
      </c>
      <c r="U116" s="1">
        <v>45901.600802198707</v>
      </c>
      <c r="V116" t="s">
        <v>32</v>
      </c>
      <c r="W116" t="s">
        <v>122</v>
      </c>
      <c r="X116">
        <v>1.029628862474202</v>
      </c>
      <c r="Y116">
        <v>0.9653852490031184</v>
      </c>
      <c r="Z116">
        <v>0.48919633124023681</v>
      </c>
      <c r="AA116">
        <v>3.2211685530743348</v>
      </c>
      <c r="AB116">
        <v>0.45456479969054098</v>
      </c>
    </row>
    <row r="117" spans="1:28" x14ac:dyDescent="0.25">
      <c r="A117">
        <v>3</v>
      </c>
      <c r="B117">
        <v>24</v>
      </c>
      <c r="C117">
        <v>16</v>
      </c>
      <c r="D117">
        <v>619</v>
      </c>
      <c r="E117">
        <v>19</v>
      </c>
      <c r="F117">
        <v>14</v>
      </c>
      <c r="G117">
        <v>13.274028159677981</v>
      </c>
      <c r="H117" t="s">
        <v>28</v>
      </c>
      <c r="I117" t="s">
        <v>29</v>
      </c>
      <c r="J117">
        <v>0</v>
      </c>
      <c r="K117">
        <v>76</v>
      </c>
      <c r="L117" t="s">
        <v>30</v>
      </c>
      <c r="M117">
        <v>1462</v>
      </c>
      <c r="N117">
        <v>2.9202101640403271</v>
      </c>
      <c r="O117">
        <v>15.55749703198671</v>
      </c>
      <c r="P117">
        <v>2.6447667879983778</v>
      </c>
      <c r="Q117">
        <v>16.878257554024461</v>
      </c>
      <c r="R117">
        <v>1</v>
      </c>
      <c r="S117" t="s">
        <v>31</v>
      </c>
      <c r="T117">
        <v>2019</v>
      </c>
      <c r="U117" s="1">
        <v>45901.600802198707</v>
      </c>
      <c r="V117" t="s">
        <v>32</v>
      </c>
      <c r="W117" t="s">
        <v>122</v>
      </c>
      <c r="X117">
        <v>1.028443069415568</v>
      </c>
      <c r="Y117">
        <v>1.0546911481269321</v>
      </c>
      <c r="Z117">
        <v>0.44250296801328842</v>
      </c>
      <c r="AA117">
        <v>4.6785225718194257</v>
      </c>
      <c r="AB117">
        <v>0.95771185559425709</v>
      </c>
    </row>
    <row r="118" spans="1:28" x14ac:dyDescent="0.25">
      <c r="A118">
        <v>3</v>
      </c>
      <c r="B118">
        <v>34</v>
      </c>
      <c r="C118">
        <v>15</v>
      </c>
      <c r="D118">
        <v>702</v>
      </c>
      <c r="E118">
        <v>21</v>
      </c>
      <c r="F118">
        <v>15</v>
      </c>
      <c r="G118">
        <v>18.08280211687088</v>
      </c>
      <c r="H118" t="s">
        <v>123</v>
      </c>
      <c r="I118" t="s">
        <v>29</v>
      </c>
      <c r="J118">
        <v>0</v>
      </c>
      <c r="K118">
        <v>88</v>
      </c>
      <c r="L118" t="s">
        <v>38</v>
      </c>
      <c r="M118">
        <v>2233</v>
      </c>
      <c r="N118">
        <v>2.9130469039082532</v>
      </c>
      <c r="O118">
        <v>18.08280211687088</v>
      </c>
      <c r="P118">
        <v>1.546150393784046</v>
      </c>
      <c r="Q118">
        <v>19.841922400519248</v>
      </c>
      <c r="R118">
        <v>2</v>
      </c>
      <c r="S118" t="s">
        <v>31</v>
      </c>
      <c r="T118">
        <v>2019</v>
      </c>
      <c r="U118" s="1">
        <v>45901.600802198707</v>
      </c>
      <c r="V118" t="s">
        <v>32</v>
      </c>
      <c r="W118" t="s">
        <v>122</v>
      </c>
      <c r="X118">
        <v>0.82951745548358957</v>
      </c>
      <c r="Y118">
        <v>0.82951745548358957</v>
      </c>
      <c r="Z118">
        <v>-3.0828021168708801</v>
      </c>
      <c r="AA118">
        <v>3.5467980295566499</v>
      </c>
      <c r="AB118">
        <v>0.72881871496568706</v>
      </c>
    </row>
    <row r="119" spans="1:28" x14ac:dyDescent="0.25">
      <c r="A119">
        <v>1</v>
      </c>
      <c r="B119">
        <v>32</v>
      </c>
      <c r="C119">
        <v>14</v>
      </c>
      <c r="D119">
        <v>4456</v>
      </c>
      <c r="E119">
        <v>22</v>
      </c>
      <c r="F119">
        <v>13</v>
      </c>
      <c r="G119">
        <v>16.46501316875219</v>
      </c>
      <c r="H119" t="s">
        <v>106</v>
      </c>
      <c r="I119" t="s">
        <v>29</v>
      </c>
      <c r="J119">
        <v>0</v>
      </c>
      <c r="K119">
        <v>65</v>
      </c>
      <c r="L119" t="s">
        <v>62</v>
      </c>
      <c r="M119">
        <v>2462</v>
      </c>
      <c r="N119">
        <v>1.4709957865998149</v>
      </c>
      <c r="O119">
        <v>17.226178102195259</v>
      </c>
      <c r="P119">
        <v>2.45541123393923</v>
      </c>
      <c r="Q119">
        <v>12.642646510154011</v>
      </c>
      <c r="R119">
        <v>1</v>
      </c>
      <c r="S119" t="s">
        <v>31</v>
      </c>
      <c r="T119">
        <v>2019</v>
      </c>
      <c r="U119" s="1">
        <v>45901.600802198707</v>
      </c>
      <c r="V119" t="s">
        <v>32</v>
      </c>
      <c r="W119" t="s">
        <v>122</v>
      </c>
      <c r="X119">
        <v>0.81271654785781378</v>
      </c>
      <c r="Y119">
        <v>0.7895529670557323</v>
      </c>
      <c r="Z119">
        <v>-3.2261781021952629</v>
      </c>
      <c r="AA119">
        <v>2.3761169780666132</v>
      </c>
      <c r="AB119">
        <v>0.62971406547423792</v>
      </c>
    </row>
    <row r="120" spans="1:28" x14ac:dyDescent="0.25">
      <c r="A120">
        <v>7</v>
      </c>
      <c r="B120">
        <v>34</v>
      </c>
      <c r="C120">
        <v>14</v>
      </c>
      <c r="D120">
        <v>5543</v>
      </c>
      <c r="E120">
        <v>32</v>
      </c>
      <c r="F120">
        <v>14</v>
      </c>
      <c r="G120">
        <v>20.254034588113431</v>
      </c>
      <c r="H120" t="s">
        <v>100</v>
      </c>
      <c r="I120" t="s">
        <v>29</v>
      </c>
      <c r="J120">
        <v>0</v>
      </c>
      <c r="K120">
        <v>101</v>
      </c>
      <c r="L120" t="s">
        <v>30</v>
      </c>
      <c r="M120">
        <v>2022</v>
      </c>
      <c r="N120">
        <v>3.5988585241138931</v>
      </c>
      <c r="O120">
        <v>21.01520355977118</v>
      </c>
      <c r="P120">
        <v>7.1813129149377346</v>
      </c>
      <c r="Q120">
        <v>27.652234144508839</v>
      </c>
      <c r="R120">
        <v>3</v>
      </c>
      <c r="S120" t="s">
        <v>31</v>
      </c>
      <c r="T120">
        <v>2019</v>
      </c>
      <c r="U120" s="1">
        <v>45901.600802198707</v>
      </c>
      <c r="V120" t="s">
        <v>32</v>
      </c>
      <c r="W120" t="s">
        <v>122</v>
      </c>
      <c r="X120">
        <v>0.66618436315315122</v>
      </c>
      <c r="Y120">
        <v>0.69122030670453383</v>
      </c>
      <c r="Z120">
        <v>-7.0152035597711802</v>
      </c>
      <c r="AA120">
        <v>4.4955489614243316</v>
      </c>
      <c r="AB120">
        <v>0.93539481720049766</v>
      </c>
    </row>
    <row r="121" spans="1:28" x14ac:dyDescent="0.25">
      <c r="A121">
        <v>1</v>
      </c>
      <c r="B121">
        <v>36</v>
      </c>
      <c r="C121">
        <v>13</v>
      </c>
      <c r="D121">
        <v>5555</v>
      </c>
      <c r="E121">
        <v>15</v>
      </c>
      <c r="F121">
        <v>13</v>
      </c>
      <c r="G121">
        <v>16.10982966423035</v>
      </c>
      <c r="H121" t="s">
        <v>124</v>
      </c>
      <c r="I121" t="s">
        <v>29</v>
      </c>
      <c r="J121">
        <v>0</v>
      </c>
      <c r="K121">
        <v>85</v>
      </c>
      <c r="L121" t="s">
        <v>64</v>
      </c>
      <c r="M121">
        <v>2639</v>
      </c>
      <c r="N121">
        <v>1.3362244945019479</v>
      </c>
      <c r="O121">
        <v>16.10982966423035</v>
      </c>
      <c r="P121">
        <v>3.8967645466327672</v>
      </c>
      <c r="Q121">
        <v>17.21248751878738</v>
      </c>
      <c r="R121">
        <v>9</v>
      </c>
      <c r="S121" t="s">
        <v>31</v>
      </c>
      <c r="T121">
        <v>2019</v>
      </c>
      <c r="U121" s="1">
        <v>45901.600802198707</v>
      </c>
      <c r="V121" t="s">
        <v>32</v>
      </c>
      <c r="W121" t="s">
        <v>122</v>
      </c>
      <c r="X121">
        <v>0.80696073583352068</v>
      </c>
      <c r="Y121">
        <v>0.80696073583352068</v>
      </c>
      <c r="Z121">
        <v>-3.1098296642303471</v>
      </c>
      <c r="AA121">
        <v>2.898825312618416</v>
      </c>
      <c r="AB121">
        <v>0.54940684720755262</v>
      </c>
    </row>
    <row r="122" spans="1:28" x14ac:dyDescent="0.25">
      <c r="A122">
        <v>3</v>
      </c>
      <c r="B122">
        <v>36</v>
      </c>
      <c r="C122">
        <v>13</v>
      </c>
      <c r="D122">
        <v>6026</v>
      </c>
      <c r="E122">
        <v>34</v>
      </c>
      <c r="F122">
        <v>13</v>
      </c>
      <c r="G122">
        <v>9.8429660275578499</v>
      </c>
      <c r="H122" t="s">
        <v>111</v>
      </c>
      <c r="I122" t="s">
        <v>49</v>
      </c>
      <c r="J122">
        <v>0</v>
      </c>
      <c r="K122">
        <v>89</v>
      </c>
      <c r="L122" t="s">
        <v>64</v>
      </c>
      <c r="M122">
        <v>3100</v>
      </c>
      <c r="N122">
        <v>6.6681398935616016</v>
      </c>
      <c r="O122">
        <v>9.8429660275578499</v>
      </c>
      <c r="P122">
        <v>5.1983046736568213</v>
      </c>
      <c r="Q122">
        <v>16.459744973108169</v>
      </c>
      <c r="R122">
        <v>8</v>
      </c>
      <c r="S122" t="s">
        <v>31</v>
      </c>
      <c r="T122">
        <v>2019</v>
      </c>
      <c r="U122" s="1">
        <v>45901.600802198707</v>
      </c>
      <c r="V122" t="s">
        <v>32</v>
      </c>
      <c r="W122" t="s">
        <v>122</v>
      </c>
      <c r="X122">
        <v>1.3207401065495139</v>
      </c>
      <c r="Y122">
        <v>1.3207401065495139</v>
      </c>
      <c r="Z122">
        <v>3.1570339724421501</v>
      </c>
      <c r="AA122">
        <v>2.583870967741936</v>
      </c>
      <c r="AB122">
        <v>0.28576352983232473</v>
      </c>
    </row>
    <row r="123" spans="1:28" x14ac:dyDescent="0.25">
      <c r="A123">
        <v>10</v>
      </c>
      <c r="B123">
        <v>30</v>
      </c>
      <c r="C123">
        <v>11</v>
      </c>
      <c r="D123">
        <v>453</v>
      </c>
      <c r="E123">
        <v>41</v>
      </c>
      <c r="F123">
        <v>11</v>
      </c>
      <c r="G123">
        <v>8.9405329087749124</v>
      </c>
      <c r="H123" t="s">
        <v>92</v>
      </c>
      <c r="I123" t="s">
        <v>35</v>
      </c>
      <c r="J123">
        <v>2</v>
      </c>
      <c r="K123">
        <v>81</v>
      </c>
      <c r="L123" t="s">
        <v>36</v>
      </c>
      <c r="M123">
        <v>2511</v>
      </c>
      <c r="N123">
        <v>6.7217254117131233</v>
      </c>
      <c r="O123">
        <v>9.7017028192058206</v>
      </c>
      <c r="P123">
        <v>6.5140126384794712</v>
      </c>
      <c r="Q123">
        <v>18.800013221800331</v>
      </c>
      <c r="R123">
        <v>0</v>
      </c>
      <c r="S123" t="s">
        <v>31</v>
      </c>
      <c r="T123">
        <v>2019</v>
      </c>
      <c r="U123" s="1">
        <v>45901.600802198707</v>
      </c>
      <c r="V123" t="s">
        <v>32</v>
      </c>
      <c r="W123" t="s">
        <v>122</v>
      </c>
      <c r="X123">
        <v>1.133821578024842</v>
      </c>
      <c r="Y123">
        <v>1.2303517152991821</v>
      </c>
      <c r="Z123">
        <v>1.298297180794179</v>
      </c>
      <c r="AA123">
        <v>2.903225806451613</v>
      </c>
      <c r="AB123">
        <v>0.34773128384250263</v>
      </c>
    </row>
    <row r="124" spans="1:28" x14ac:dyDescent="0.25">
      <c r="A124">
        <v>9</v>
      </c>
      <c r="B124">
        <v>33</v>
      </c>
      <c r="C124">
        <v>11</v>
      </c>
      <c r="D124">
        <v>750</v>
      </c>
      <c r="E124">
        <v>60</v>
      </c>
      <c r="F124">
        <v>10</v>
      </c>
      <c r="G124">
        <v>7.8884863909333944</v>
      </c>
      <c r="H124" t="s">
        <v>101</v>
      </c>
      <c r="I124" t="s">
        <v>35</v>
      </c>
      <c r="J124">
        <v>0</v>
      </c>
      <c r="K124">
        <v>74</v>
      </c>
      <c r="L124" t="s">
        <v>30</v>
      </c>
      <c r="M124">
        <v>1938</v>
      </c>
      <c r="N124">
        <v>11.05984935536981</v>
      </c>
      <c r="O124">
        <v>8.649655694141984</v>
      </c>
      <c r="P124">
        <v>13.285876329988239</v>
      </c>
      <c r="Q124">
        <v>27.765530444681641</v>
      </c>
      <c r="R124">
        <v>0</v>
      </c>
      <c r="S124" t="s">
        <v>31</v>
      </c>
      <c r="T124">
        <v>2019</v>
      </c>
      <c r="U124" s="1">
        <v>45901.600802198707</v>
      </c>
      <c r="V124" t="s">
        <v>32</v>
      </c>
      <c r="W124" t="s">
        <v>122</v>
      </c>
      <c r="X124">
        <v>1.271726920581336</v>
      </c>
      <c r="Y124">
        <v>1.267670311441935</v>
      </c>
      <c r="Z124">
        <v>2.350344305858016</v>
      </c>
      <c r="AA124">
        <v>3.4365325077399378</v>
      </c>
      <c r="AB124">
        <v>0.40168679694157822</v>
      </c>
    </row>
    <row r="125" spans="1:28" x14ac:dyDescent="0.25">
      <c r="A125">
        <v>3</v>
      </c>
      <c r="B125">
        <v>36</v>
      </c>
      <c r="C125">
        <v>11</v>
      </c>
      <c r="D125">
        <v>7696</v>
      </c>
      <c r="E125">
        <v>30</v>
      </c>
      <c r="F125">
        <v>9</v>
      </c>
      <c r="G125">
        <v>10.002006579190491</v>
      </c>
      <c r="H125" t="s">
        <v>125</v>
      </c>
      <c r="I125" t="s">
        <v>29</v>
      </c>
      <c r="J125">
        <v>0</v>
      </c>
      <c r="K125">
        <v>80</v>
      </c>
      <c r="L125" t="s">
        <v>126</v>
      </c>
      <c r="M125">
        <v>2908</v>
      </c>
      <c r="N125">
        <v>3.6190149765461679</v>
      </c>
      <c r="O125">
        <v>11.524341631680731</v>
      </c>
      <c r="P125">
        <v>2.3684430029243231</v>
      </c>
      <c r="Q125">
        <v>14.75146913342178</v>
      </c>
      <c r="R125">
        <v>3</v>
      </c>
      <c r="S125" t="s">
        <v>31</v>
      </c>
      <c r="T125">
        <v>2019</v>
      </c>
      <c r="U125" s="1">
        <v>45901.600802198707</v>
      </c>
      <c r="V125" t="s">
        <v>32</v>
      </c>
      <c r="W125" t="s">
        <v>122</v>
      </c>
      <c r="X125">
        <v>0.95450138077829116</v>
      </c>
      <c r="Y125">
        <v>0.89981944410282622</v>
      </c>
      <c r="Z125">
        <v>-0.52434163168072878</v>
      </c>
      <c r="AA125">
        <v>2.4759284731774409</v>
      </c>
      <c r="AB125">
        <v>0.35666806975628118</v>
      </c>
    </row>
    <row r="126" spans="1:28" x14ac:dyDescent="0.25">
      <c r="A126">
        <v>3</v>
      </c>
      <c r="B126">
        <v>24</v>
      </c>
      <c r="C126">
        <v>10</v>
      </c>
      <c r="D126">
        <v>531</v>
      </c>
      <c r="E126">
        <v>26</v>
      </c>
      <c r="F126">
        <v>9</v>
      </c>
      <c r="G126">
        <v>12.48838792927563</v>
      </c>
      <c r="H126" t="s">
        <v>127</v>
      </c>
      <c r="I126" t="s">
        <v>35</v>
      </c>
      <c r="J126">
        <v>0</v>
      </c>
      <c r="K126">
        <v>68</v>
      </c>
      <c r="L126" t="s">
        <v>66</v>
      </c>
      <c r="M126">
        <v>1767</v>
      </c>
      <c r="N126">
        <v>3.921496020630002</v>
      </c>
      <c r="O126">
        <v>13.24955789931118</v>
      </c>
      <c r="P126">
        <v>2.2701563071459532</v>
      </c>
      <c r="Q126">
        <v>13.95971275493503</v>
      </c>
      <c r="R126">
        <v>3</v>
      </c>
      <c r="S126" t="s">
        <v>31</v>
      </c>
      <c r="T126">
        <v>2019</v>
      </c>
      <c r="U126" s="1">
        <v>45901.600802198707</v>
      </c>
      <c r="V126" t="s">
        <v>32</v>
      </c>
      <c r="W126" t="s">
        <v>122</v>
      </c>
      <c r="X126">
        <v>0.75474216392683391</v>
      </c>
      <c r="Y126">
        <v>0.72066947719504659</v>
      </c>
      <c r="Z126">
        <v>-3.2495578993111849</v>
      </c>
      <c r="AA126">
        <v>3.4634974533106959</v>
      </c>
      <c r="AB126">
        <v>0.67485014767289564</v>
      </c>
    </row>
    <row r="127" spans="1:28" x14ac:dyDescent="0.25">
      <c r="A127">
        <v>2</v>
      </c>
      <c r="B127">
        <v>27</v>
      </c>
      <c r="C127">
        <v>10</v>
      </c>
      <c r="D127">
        <v>574</v>
      </c>
      <c r="E127">
        <v>29</v>
      </c>
      <c r="F127">
        <v>5</v>
      </c>
      <c r="G127">
        <v>7.0221905987709761</v>
      </c>
      <c r="H127" t="s">
        <v>75</v>
      </c>
      <c r="I127" t="s">
        <v>29</v>
      </c>
      <c r="J127">
        <v>0</v>
      </c>
      <c r="K127">
        <v>45</v>
      </c>
      <c r="L127" t="s">
        <v>72</v>
      </c>
      <c r="M127">
        <v>2253</v>
      </c>
      <c r="N127">
        <v>3.7357018003240232</v>
      </c>
      <c r="O127">
        <v>11.58919966034591</v>
      </c>
      <c r="P127">
        <v>3.3345970688387752</v>
      </c>
      <c r="Q127">
        <v>11.63246042933315</v>
      </c>
      <c r="R127">
        <v>3</v>
      </c>
      <c r="S127" t="s">
        <v>31</v>
      </c>
      <c r="T127">
        <v>2019</v>
      </c>
      <c r="U127" s="1">
        <v>45901.600802198707</v>
      </c>
      <c r="V127" t="s">
        <v>32</v>
      </c>
      <c r="W127" t="s">
        <v>122</v>
      </c>
      <c r="X127">
        <v>0.86287235469904067</v>
      </c>
      <c r="Y127">
        <v>0.71202852296192298</v>
      </c>
      <c r="Z127">
        <v>-1.589199660345912</v>
      </c>
      <c r="AA127">
        <v>1.7976031957390151</v>
      </c>
      <c r="AB127">
        <v>0.46295071878878469</v>
      </c>
    </row>
    <row r="128" spans="1:28" x14ac:dyDescent="0.25">
      <c r="A128">
        <v>4</v>
      </c>
      <c r="B128">
        <v>30</v>
      </c>
      <c r="C128">
        <v>10</v>
      </c>
      <c r="D128">
        <v>3277</v>
      </c>
      <c r="E128">
        <v>24</v>
      </c>
      <c r="F128">
        <v>10</v>
      </c>
      <c r="G128">
        <v>8.6646443624049425</v>
      </c>
      <c r="H128" t="s">
        <v>99</v>
      </c>
      <c r="I128" t="s">
        <v>29</v>
      </c>
      <c r="J128">
        <v>0</v>
      </c>
      <c r="K128">
        <v>52</v>
      </c>
      <c r="L128" t="s">
        <v>42</v>
      </c>
      <c r="M128">
        <v>1890</v>
      </c>
      <c r="N128">
        <v>3.3422927837818861</v>
      </c>
      <c r="O128">
        <v>8.6646443624049425</v>
      </c>
      <c r="P128">
        <v>2.505633901804686</v>
      </c>
      <c r="Q128">
        <v>12.06130960211158</v>
      </c>
      <c r="R128">
        <v>8</v>
      </c>
      <c r="S128" t="s">
        <v>31</v>
      </c>
      <c r="T128">
        <v>2019</v>
      </c>
      <c r="U128" s="1">
        <v>45901.600802198707</v>
      </c>
      <c r="V128" t="s">
        <v>32</v>
      </c>
      <c r="W128" t="s">
        <v>122</v>
      </c>
      <c r="X128">
        <v>1.1541154583780771</v>
      </c>
      <c r="Y128">
        <v>1.1541154583780771</v>
      </c>
      <c r="Z128">
        <v>1.335355637595057</v>
      </c>
      <c r="AA128">
        <v>2.4761904761904758</v>
      </c>
      <c r="AB128">
        <v>0.41260211249547341</v>
      </c>
    </row>
    <row r="129" spans="1:28" x14ac:dyDescent="0.25">
      <c r="A129">
        <v>3</v>
      </c>
      <c r="B129">
        <v>37</v>
      </c>
      <c r="C129">
        <v>10</v>
      </c>
      <c r="D129">
        <v>3621</v>
      </c>
      <c r="E129">
        <v>25</v>
      </c>
      <c r="F129">
        <v>9</v>
      </c>
      <c r="G129">
        <v>12.036209456622601</v>
      </c>
      <c r="H129" t="s">
        <v>128</v>
      </c>
      <c r="I129" t="s">
        <v>29</v>
      </c>
      <c r="J129">
        <v>0</v>
      </c>
      <c r="K129">
        <v>96</v>
      </c>
      <c r="L129" t="s">
        <v>103</v>
      </c>
      <c r="M129">
        <v>2782</v>
      </c>
      <c r="N129">
        <v>2.5061313090845938</v>
      </c>
      <c r="O129">
        <v>13.558547105640169</v>
      </c>
      <c r="P129">
        <v>3.4836157914251089</v>
      </c>
      <c r="Q129">
        <v>13.855041846632959</v>
      </c>
      <c r="R129">
        <v>3</v>
      </c>
      <c r="S129" t="s">
        <v>31</v>
      </c>
      <c r="T129">
        <v>2019</v>
      </c>
      <c r="U129" s="1">
        <v>45901.600802198707</v>
      </c>
      <c r="V129" t="s">
        <v>32</v>
      </c>
      <c r="W129" t="s">
        <v>122</v>
      </c>
      <c r="X129">
        <v>0.73754215124127398</v>
      </c>
      <c r="Y129">
        <v>0.74774371719229193</v>
      </c>
      <c r="Z129">
        <v>-3.5585471056401712</v>
      </c>
      <c r="AA129">
        <v>3.1056793673616099</v>
      </c>
      <c r="AB129">
        <v>0.43863020830611632</v>
      </c>
    </row>
    <row r="130" spans="1:28" x14ac:dyDescent="0.25">
      <c r="A130">
        <v>1</v>
      </c>
      <c r="B130">
        <v>31</v>
      </c>
      <c r="C130">
        <v>10</v>
      </c>
      <c r="D130">
        <v>7490</v>
      </c>
      <c r="E130">
        <v>14</v>
      </c>
      <c r="F130">
        <v>10</v>
      </c>
      <c r="G130">
        <v>3.3878568075597291</v>
      </c>
      <c r="H130" t="s">
        <v>129</v>
      </c>
      <c r="I130" t="s">
        <v>35</v>
      </c>
      <c r="J130">
        <v>0</v>
      </c>
      <c r="K130">
        <v>39</v>
      </c>
      <c r="L130" t="s">
        <v>50</v>
      </c>
      <c r="M130">
        <v>1304</v>
      </c>
      <c r="N130">
        <v>1.411507823504508</v>
      </c>
      <c r="O130">
        <v>3.3878568075597291</v>
      </c>
      <c r="P130">
        <v>4.2844594232738018</v>
      </c>
      <c r="Q130">
        <v>8.5169802606105804</v>
      </c>
      <c r="R130">
        <v>0</v>
      </c>
      <c r="S130" t="s">
        <v>31</v>
      </c>
      <c r="T130">
        <v>2019</v>
      </c>
      <c r="U130" s="1">
        <v>45901.600802198707</v>
      </c>
      <c r="V130" t="s">
        <v>32</v>
      </c>
      <c r="W130" t="s">
        <v>122</v>
      </c>
      <c r="X130">
        <v>2.951718613869927</v>
      </c>
      <c r="Y130">
        <v>2.951718613869927</v>
      </c>
      <c r="Z130">
        <v>6.6121431924402714</v>
      </c>
      <c r="AA130">
        <v>2.6917177914110431</v>
      </c>
      <c r="AB130">
        <v>0.23382447291439851</v>
      </c>
    </row>
    <row r="131" spans="1:28" x14ac:dyDescent="0.25">
      <c r="A131">
        <v>14</v>
      </c>
      <c r="B131">
        <v>35</v>
      </c>
      <c r="C131">
        <v>23</v>
      </c>
      <c r="D131">
        <v>647</v>
      </c>
      <c r="E131">
        <v>49</v>
      </c>
      <c r="F131">
        <v>19</v>
      </c>
      <c r="G131">
        <v>19.13017895817757</v>
      </c>
      <c r="H131" t="s">
        <v>34</v>
      </c>
      <c r="I131" t="s">
        <v>32</v>
      </c>
      <c r="J131">
        <v>0</v>
      </c>
      <c r="K131">
        <v>138</v>
      </c>
      <c r="L131" t="s">
        <v>36</v>
      </c>
      <c r="M131">
        <v>3097</v>
      </c>
      <c r="N131">
        <v>7.5770979505032301</v>
      </c>
      <c r="O131">
        <v>22.17486493289471</v>
      </c>
      <c r="P131">
        <v>4.4512554183602333</v>
      </c>
      <c r="Q131">
        <v>24.995637115091089</v>
      </c>
      <c r="R131">
        <v>1</v>
      </c>
      <c r="S131" t="s">
        <v>31</v>
      </c>
      <c r="T131">
        <v>2020</v>
      </c>
      <c r="U131" s="1">
        <v>45901.600802198707</v>
      </c>
      <c r="V131" t="s">
        <v>32</v>
      </c>
      <c r="W131" t="s">
        <v>130</v>
      </c>
      <c r="X131">
        <v>1.0372103762346381</v>
      </c>
      <c r="Y131">
        <v>0.9931950998230511</v>
      </c>
      <c r="Z131">
        <v>0.82513506710529327</v>
      </c>
      <c r="AA131">
        <v>4.0103325799160476</v>
      </c>
      <c r="AB131">
        <v>0.64441002388134438</v>
      </c>
    </row>
    <row r="132" spans="1:28" x14ac:dyDescent="0.25">
      <c r="A132">
        <v>5</v>
      </c>
      <c r="B132">
        <v>37</v>
      </c>
      <c r="C132">
        <v>22</v>
      </c>
      <c r="D132">
        <v>1250</v>
      </c>
      <c r="E132">
        <v>55</v>
      </c>
      <c r="F132">
        <v>16</v>
      </c>
      <c r="G132">
        <v>15.6838341075927</v>
      </c>
      <c r="H132" t="s">
        <v>96</v>
      </c>
      <c r="I132" t="s">
        <v>35</v>
      </c>
      <c r="J132">
        <v>0</v>
      </c>
      <c r="K132">
        <v>126</v>
      </c>
      <c r="L132" t="s">
        <v>82</v>
      </c>
      <c r="M132">
        <v>3085</v>
      </c>
      <c r="N132">
        <v>6.5285275597125292</v>
      </c>
      <c r="O132">
        <v>20.25085051171482</v>
      </c>
      <c r="P132">
        <v>9.800236526876688</v>
      </c>
      <c r="Q132">
        <v>28.96822943910956</v>
      </c>
      <c r="R132">
        <v>0</v>
      </c>
      <c r="S132" t="s">
        <v>31</v>
      </c>
      <c r="T132">
        <v>2020</v>
      </c>
      <c r="U132" s="1">
        <v>45901.600802198707</v>
      </c>
      <c r="V132" t="s">
        <v>32</v>
      </c>
      <c r="W132" t="s">
        <v>130</v>
      </c>
      <c r="X132">
        <v>1.086374124744703</v>
      </c>
      <c r="Y132">
        <v>1.020158711845482</v>
      </c>
      <c r="Z132">
        <v>1.7491494882851839</v>
      </c>
      <c r="AA132">
        <v>3.6758508914100489</v>
      </c>
      <c r="AB132">
        <v>0.5907865627404647</v>
      </c>
    </row>
    <row r="133" spans="1:28" x14ac:dyDescent="0.25">
      <c r="A133">
        <v>10</v>
      </c>
      <c r="B133">
        <v>37</v>
      </c>
      <c r="C133">
        <v>17</v>
      </c>
      <c r="D133">
        <v>453</v>
      </c>
      <c r="E133">
        <v>75</v>
      </c>
      <c r="F133">
        <v>16</v>
      </c>
      <c r="G133">
        <v>10.262117672711611</v>
      </c>
      <c r="H133" t="s">
        <v>92</v>
      </c>
      <c r="I133" t="s">
        <v>35</v>
      </c>
      <c r="J133">
        <v>0</v>
      </c>
      <c r="K133">
        <v>68</v>
      </c>
      <c r="L133" t="s">
        <v>36</v>
      </c>
      <c r="M133">
        <v>3139</v>
      </c>
      <c r="N133">
        <v>9.5129963466897607</v>
      </c>
      <c r="O133">
        <v>11.02328626438975</v>
      </c>
      <c r="P133">
        <v>6.6087541738525033</v>
      </c>
      <c r="Q133">
        <v>20.671933140605692</v>
      </c>
      <c r="R133">
        <v>0</v>
      </c>
      <c r="S133" t="s">
        <v>31</v>
      </c>
      <c r="T133">
        <v>2020</v>
      </c>
      <c r="U133" s="1">
        <v>45901.600802198707</v>
      </c>
      <c r="V133" t="s">
        <v>32</v>
      </c>
      <c r="W133" t="s">
        <v>130</v>
      </c>
      <c r="X133">
        <v>1.5421898327105741</v>
      </c>
      <c r="Y133">
        <v>1.5591323847850831</v>
      </c>
      <c r="Z133">
        <v>5.9767137356102484</v>
      </c>
      <c r="AA133">
        <v>1.9496654985664219</v>
      </c>
      <c r="AB133">
        <v>0.31605471927208589</v>
      </c>
    </row>
    <row r="134" spans="1:28" x14ac:dyDescent="0.25">
      <c r="A134">
        <v>7</v>
      </c>
      <c r="B134">
        <v>38</v>
      </c>
      <c r="C134">
        <v>17</v>
      </c>
      <c r="D134">
        <v>822</v>
      </c>
      <c r="E134">
        <v>30</v>
      </c>
      <c r="F134">
        <v>15</v>
      </c>
      <c r="G134">
        <v>16.879525646567341</v>
      </c>
      <c r="H134" t="s">
        <v>131</v>
      </c>
      <c r="I134" t="s">
        <v>29</v>
      </c>
      <c r="J134">
        <v>0</v>
      </c>
      <c r="K134">
        <v>107</v>
      </c>
      <c r="L134" t="s">
        <v>132</v>
      </c>
      <c r="M134">
        <v>3085</v>
      </c>
      <c r="N134">
        <v>3.782248348928988</v>
      </c>
      <c r="O134">
        <v>18.401862345635891</v>
      </c>
      <c r="P134">
        <v>4.1317954920232296</v>
      </c>
      <c r="Q134">
        <v>23.39496806636453</v>
      </c>
      <c r="R134">
        <v>3</v>
      </c>
      <c r="S134" t="s">
        <v>31</v>
      </c>
      <c r="T134">
        <v>2020</v>
      </c>
      <c r="U134" s="1">
        <v>45901.600802198707</v>
      </c>
      <c r="V134" t="s">
        <v>32</v>
      </c>
      <c r="W134" t="s">
        <v>130</v>
      </c>
      <c r="X134">
        <v>0.92381953960391672</v>
      </c>
      <c r="Y134">
        <v>0.88865056483684013</v>
      </c>
      <c r="Z134">
        <v>-1.401862345635891</v>
      </c>
      <c r="AA134">
        <v>3.121555915721232</v>
      </c>
      <c r="AB134">
        <v>0.53684525481595791</v>
      </c>
    </row>
    <row r="135" spans="1:28" x14ac:dyDescent="0.25">
      <c r="A135">
        <v>0</v>
      </c>
      <c r="B135">
        <v>33</v>
      </c>
      <c r="C135">
        <v>16</v>
      </c>
      <c r="D135">
        <v>5555</v>
      </c>
      <c r="E135">
        <v>18</v>
      </c>
      <c r="F135">
        <v>16</v>
      </c>
      <c r="G135">
        <v>18.210516868159171</v>
      </c>
      <c r="H135" t="s">
        <v>124</v>
      </c>
      <c r="I135" t="s">
        <v>29</v>
      </c>
      <c r="J135">
        <v>0</v>
      </c>
      <c r="K135">
        <v>83</v>
      </c>
      <c r="L135" t="s">
        <v>64</v>
      </c>
      <c r="M135">
        <v>2878</v>
      </c>
      <c r="N135">
        <v>2.1018170565366741</v>
      </c>
      <c r="O135">
        <v>18.210516868159171</v>
      </c>
      <c r="P135">
        <v>4.270792106166482</v>
      </c>
      <c r="Q135">
        <v>19.884302295744419</v>
      </c>
      <c r="R135">
        <v>3</v>
      </c>
      <c r="S135" t="s">
        <v>31</v>
      </c>
      <c r="T135">
        <v>2020</v>
      </c>
      <c r="U135" s="1">
        <v>45901.600802198707</v>
      </c>
      <c r="V135" t="s">
        <v>32</v>
      </c>
      <c r="W135" t="s">
        <v>130</v>
      </c>
      <c r="X135">
        <v>0.87861317258796601</v>
      </c>
      <c r="Y135">
        <v>0.87861317258796601</v>
      </c>
      <c r="Z135">
        <v>-2.2105168681591709</v>
      </c>
      <c r="AA135">
        <v>2.595552466990966</v>
      </c>
      <c r="AB135">
        <v>0.56947412026904987</v>
      </c>
    </row>
    <row r="136" spans="1:28" x14ac:dyDescent="0.25">
      <c r="A136">
        <v>9</v>
      </c>
      <c r="B136">
        <v>34</v>
      </c>
      <c r="C136">
        <v>15</v>
      </c>
      <c r="D136">
        <v>755</v>
      </c>
      <c r="E136">
        <v>28</v>
      </c>
      <c r="F136">
        <v>7</v>
      </c>
      <c r="G136">
        <v>13.092422213405371</v>
      </c>
      <c r="H136" t="s">
        <v>70</v>
      </c>
      <c r="I136" t="s">
        <v>29</v>
      </c>
      <c r="J136">
        <v>0</v>
      </c>
      <c r="K136">
        <v>82</v>
      </c>
      <c r="L136" t="s">
        <v>56</v>
      </c>
      <c r="M136">
        <v>2848</v>
      </c>
      <c r="N136">
        <v>5.0878832601010799</v>
      </c>
      <c r="O136">
        <v>19.942946769297119</v>
      </c>
      <c r="P136">
        <v>2.4125871825963259</v>
      </c>
      <c r="Q136">
        <v>18.227908633649349</v>
      </c>
      <c r="R136">
        <v>1</v>
      </c>
      <c r="S136" t="s">
        <v>31</v>
      </c>
      <c r="T136">
        <v>2020</v>
      </c>
      <c r="U136" s="1">
        <v>45901.600802198707</v>
      </c>
      <c r="V136" t="s">
        <v>32</v>
      </c>
      <c r="W136" t="s">
        <v>130</v>
      </c>
      <c r="X136">
        <v>0.75214561687007231</v>
      </c>
      <c r="Y136">
        <v>0.53466042309823147</v>
      </c>
      <c r="Z136">
        <v>-4.942946769297123</v>
      </c>
      <c r="AA136">
        <v>2.5912921348314608</v>
      </c>
      <c r="AB136">
        <v>0.63021952571514783</v>
      </c>
    </row>
    <row r="137" spans="1:28" x14ac:dyDescent="0.25">
      <c r="A137">
        <v>5</v>
      </c>
      <c r="B137">
        <v>37</v>
      </c>
      <c r="C137">
        <v>14</v>
      </c>
      <c r="D137">
        <v>8865</v>
      </c>
      <c r="E137">
        <v>45</v>
      </c>
      <c r="F137">
        <v>13</v>
      </c>
      <c r="G137">
        <v>14.75783659145236</v>
      </c>
      <c r="H137" t="s">
        <v>133</v>
      </c>
      <c r="I137" t="s">
        <v>32</v>
      </c>
      <c r="J137">
        <v>1</v>
      </c>
      <c r="K137">
        <v>98</v>
      </c>
      <c r="L137" t="s">
        <v>47</v>
      </c>
      <c r="M137">
        <v>3330</v>
      </c>
      <c r="N137">
        <v>5.3140297904610634</v>
      </c>
      <c r="O137">
        <v>16.280176680535082</v>
      </c>
      <c r="P137">
        <v>5.3349852617830038</v>
      </c>
      <c r="Q137">
        <v>22.014022789895531</v>
      </c>
      <c r="R137">
        <v>2</v>
      </c>
      <c r="S137" t="s">
        <v>31</v>
      </c>
      <c r="T137">
        <v>2020</v>
      </c>
      <c r="U137" s="1">
        <v>45901.600802198707</v>
      </c>
      <c r="V137" t="s">
        <v>32</v>
      </c>
      <c r="W137" t="s">
        <v>130</v>
      </c>
      <c r="X137">
        <v>0.85994152733850204</v>
      </c>
      <c r="Y137">
        <v>0.88088792144029515</v>
      </c>
      <c r="Z137">
        <v>-2.280176680535078</v>
      </c>
      <c r="AA137">
        <v>2.6486486486486491</v>
      </c>
      <c r="AB137">
        <v>0.44000477514959668</v>
      </c>
    </row>
    <row r="138" spans="1:28" x14ac:dyDescent="0.25">
      <c r="A138">
        <v>2</v>
      </c>
      <c r="B138">
        <v>31</v>
      </c>
      <c r="C138">
        <v>13</v>
      </c>
      <c r="D138">
        <v>3277</v>
      </c>
      <c r="E138">
        <v>22</v>
      </c>
      <c r="F138">
        <v>10</v>
      </c>
      <c r="G138">
        <v>9.7454029507935047</v>
      </c>
      <c r="H138" t="s">
        <v>99</v>
      </c>
      <c r="I138" t="s">
        <v>35</v>
      </c>
      <c r="J138">
        <v>0</v>
      </c>
      <c r="K138">
        <v>45</v>
      </c>
      <c r="L138" t="s">
        <v>42</v>
      </c>
      <c r="M138">
        <v>1939</v>
      </c>
      <c r="N138">
        <v>2.2092133089900021</v>
      </c>
      <c r="O138">
        <v>12.028910953551531</v>
      </c>
      <c r="P138">
        <v>2.9379456415772438</v>
      </c>
      <c r="Q138">
        <v>14.36154376156628</v>
      </c>
      <c r="R138">
        <v>3</v>
      </c>
      <c r="S138" t="s">
        <v>31</v>
      </c>
      <c r="T138">
        <v>2020</v>
      </c>
      <c r="U138" s="1">
        <v>45901.600802198707</v>
      </c>
      <c r="V138" t="s">
        <v>32</v>
      </c>
      <c r="W138" t="s">
        <v>130</v>
      </c>
      <c r="X138">
        <v>1.080729589752409</v>
      </c>
      <c r="Y138">
        <v>1.0261248355241961</v>
      </c>
      <c r="Z138">
        <v>0.97108904644846916</v>
      </c>
      <c r="AA138">
        <v>2.088705518308406</v>
      </c>
      <c r="AB138">
        <v>0.55833005973163374</v>
      </c>
    </row>
    <row r="139" spans="1:28" x14ac:dyDescent="0.25">
      <c r="A139">
        <v>5</v>
      </c>
      <c r="B139">
        <v>26</v>
      </c>
      <c r="C139">
        <v>12</v>
      </c>
      <c r="D139">
        <v>468</v>
      </c>
      <c r="E139">
        <v>17</v>
      </c>
      <c r="F139">
        <v>8</v>
      </c>
      <c r="G139">
        <v>10.545412976294759</v>
      </c>
      <c r="H139" t="s">
        <v>108</v>
      </c>
      <c r="I139" t="s">
        <v>29</v>
      </c>
      <c r="J139">
        <v>0</v>
      </c>
      <c r="K139">
        <v>49</v>
      </c>
      <c r="L139" t="s">
        <v>58</v>
      </c>
      <c r="M139">
        <v>2079</v>
      </c>
      <c r="N139">
        <v>3.0462997071444988</v>
      </c>
      <c r="O139">
        <v>13.59008705988526</v>
      </c>
      <c r="P139">
        <v>1.052544891834259</v>
      </c>
      <c r="Q139">
        <v>14.2055963203311</v>
      </c>
      <c r="R139">
        <v>2</v>
      </c>
      <c r="S139" t="s">
        <v>31</v>
      </c>
      <c r="T139">
        <v>2020</v>
      </c>
      <c r="U139" s="1">
        <v>45901.600802198707</v>
      </c>
      <c r="V139" t="s">
        <v>32</v>
      </c>
      <c r="W139" t="s">
        <v>130</v>
      </c>
      <c r="X139">
        <v>0.88299655087723272</v>
      </c>
      <c r="Y139">
        <v>0.75862368007619607</v>
      </c>
      <c r="Z139">
        <v>-1.590087059885263</v>
      </c>
      <c r="AA139">
        <v>2.1212121212121211</v>
      </c>
      <c r="AB139">
        <v>0.58831545713789013</v>
      </c>
    </row>
    <row r="140" spans="1:28" x14ac:dyDescent="0.25">
      <c r="A140">
        <v>2</v>
      </c>
      <c r="B140">
        <v>25</v>
      </c>
      <c r="C140">
        <v>12</v>
      </c>
      <c r="D140">
        <v>620</v>
      </c>
      <c r="E140">
        <v>28</v>
      </c>
      <c r="F140">
        <v>12</v>
      </c>
      <c r="G140">
        <v>8.2874295813962817</v>
      </c>
      <c r="H140" t="s">
        <v>134</v>
      </c>
      <c r="I140" t="s">
        <v>29</v>
      </c>
      <c r="J140">
        <v>0</v>
      </c>
      <c r="K140">
        <v>59</v>
      </c>
      <c r="L140" t="s">
        <v>56</v>
      </c>
      <c r="M140">
        <v>1452</v>
      </c>
      <c r="N140">
        <v>3.534097613766789</v>
      </c>
      <c r="O140">
        <v>9.0486035747453553</v>
      </c>
      <c r="P140">
        <v>3.429919440299273</v>
      </c>
      <c r="Q140">
        <v>13.961564272642139</v>
      </c>
      <c r="R140">
        <v>1</v>
      </c>
      <c r="S140" t="s">
        <v>31</v>
      </c>
      <c r="T140">
        <v>2020</v>
      </c>
      <c r="U140" s="1">
        <v>45901.600802198707</v>
      </c>
      <c r="V140" t="s">
        <v>32</v>
      </c>
      <c r="W140" t="s">
        <v>130</v>
      </c>
      <c r="X140">
        <v>1.326171480590882</v>
      </c>
      <c r="Y140">
        <v>1.4479761043083541</v>
      </c>
      <c r="Z140">
        <v>2.9513964252546452</v>
      </c>
      <c r="AA140">
        <v>3.6570247933884299</v>
      </c>
      <c r="AB140">
        <v>0.5608638579387617</v>
      </c>
    </row>
    <row r="141" spans="1:28" x14ac:dyDescent="0.25">
      <c r="A141">
        <v>4</v>
      </c>
      <c r="B141">
        <v>29</v>
      </c>
      <c r="C141">
        <v>12</v>
      </c>
      <c r="D141">
        <v>986</v>
      </c>
      <c r="E141">
        <v>22</v>
      </c>
      <c r="F141">
        <v>10</v>
      </c>
      <c r="G141">
        <v>6.7542363833636054</v>
      </c>
      <c r="H141" t="s">
        <v>61</v>
      </c>
      <c r="I141" t="s">
        <v>29</v>
      </c>
      <c r="J141">
        <v>0</v>
      </c>
      <c r="K141">
        <v>57</v>
      </c>
      <c r="L141" t="s">
        <v>52</v>
      </c>
      <c r="M141">
        <v>2200</v>
      </c>
      <c r="N141">
        <v>2.3112313207238921</v>
      </c>
      <c r="O141">
        <v>8.2765739727765322</v>
      </c>
      <c r="P141">
        <v>2.4790419340133671</v>
      </c>
      <c r="Q141">
        <v>10.48222244530916</v>
      </c>
      <c r="R141">
        <v>1</v>
      </c>
      <c r="S141" t="s">
        <v>31</v>
      </c>
      <c r="T141">
        <v>2020</v>
      </c>
      <c r="U141" s="1">
        <v>45901.600802198707</v>
      </c>
      <c r="V141" t="s">
        <v>32</v>
      </c>
      <c r="W141" t="s">
        <v>130</v>
      </c>
      <c r="X141">
        <v>1.449875279248471</v>
      </c>
      <c r="Y141">
        <v>1.48055226859265</v>
      </c>
      <c r="Z141">
        <v>3.7234260272234678</v>
      </c>
      <c r="AA141">
        <v>2.331818181818182</v>
      </c>
      <c r="AB141">
        <v>0.33858711706813088</v>
      </c>
    </row>
    <row r="142" spans="1:28" x14ac:dyDescent="0.25">
      <c r="A142">
        <v>3</v>
      </c>
      <c r="B142">
        <v>33</v>
      </c>
      <c r="C142">
        <v>12</v>
      </c>
      <c r="D142">
        <v>4456</v>
      </c>
      <c r="E142">
        <v>23</v>
      </c>
      <c r="F142">
        <v>10</v>
      </c>
      <c r="G142">
        <v>11.43180251680314</v>
      </c>
      <c r="H142" t="s">
        <v>106</v>
      </c>
      <c r="I142" t="s">
        <v>29</v>
      </c>
      <c r="J142">
        <v>0</v>
      </c>
      <c r="K142">
        <v>70</v>
      </c>
      <c r="L142" t="s">
        <v>62</v>
      </c>
      <c r="M142">
        <v>2765</v>
      </c>
      <c r="N142">
        <v>2.038118289783597</v>
      </c>
      <c r="O142">
        <v>12.9541425164789</v>
      </c>
      <c r="P142">
        <v>2.1498528448864822</v>
      </c>
      <c r="Q142">
        <v>13.58528614230454</v>
      </c>
      <c r="R142">
        <v>0</v>
      </c>
      <c r="S142" t="s">
        <v>31</v>
      </c>
      <c r="T142">
        <v>2020</v>
      </c>
      <c r="U142" s="1">
        <v>45901.600802198707</v>
      </c>
      <c r="V142" t="s">
        <v>32</v>
      </c>
      <c r="W142" t="s">
        <v>130</v>
      </c>
      <c r="X142">
        <v>0.92634460248795814</v>
      </c>
      <c r="Y142">
        <v>0.87475268972687426</v>
      </c>
      <c r="Z142">
        <v>-0.95414251647889614</v>
      </c>
      <c r="AA142">
        <v>2.278481012658228</v>
      </c>
      <c r="AB142">
        <v>0.42165382512951188</v>
      </c>
    </row>
    <row r="143" spans="1:28" x14ac:dyDescent="0.25">
      <c r="A143">
        <v>2</v>
      </c>
      <c r="B143">
        <v>30</v>
      </c>
      <c r="C143">
        <v>11</v>
      </c>
      <c r="D143">
        <v>522</v>
      </c>
      <c r="E143">
        <v>30</v>
      </c>
      <c r="F143">
        <v>9</v>
      </c>
      <c r="G143">
        <v>7.2821083888411522</v>
      </c>
      <c r="H143" t="s">
        <v>118</v>
      </c>
      <c r="I143" t="s">
        <v>35</v>
      </c>
      <c r="J143">
        <v>0</v>
      </c>
      <c r="K143">
        <v>60</v>
      </c>
      <c r="L143" t="s">
        <v>90</v>
      </c>
      <c r="M143">
        <v>2615</v>
      </c>
      <c r="N143">
        <v>3.7028177306056018</v>
      </c>
      <c r="O143">
        <v>8.8044464215636253</v>
      </c>
      <c r="P143">
        <v>3.6344375163316731</v>
      </c>
      <c r="Q143">
        <v>13.57947018370032</v>
      </c>
      <c r="R143">
        <v>6</v>
      </c>
      <c r="S143" t="s">
        <v>31</v>
      </c>
      <c r="T143">
        <v>2020</v>
      </c>
      <c r="U143" s="1">
        <v>45901.600802198707</v>
      </c>
      <c r="V143" t="s">
        <v>32</v>
      </c>
      <c r="W143" t="s">
        <v>130</v>
      </c>
      <c r="X143">
        <v>1.2493687249954839</v>
      </c>
      <c r="Y143">
        <v>1.2359058008242889</v>
      </c>
      <c r="Z143">
        <v>2.1955535784363751</v>
      </c>
      <c r="AA143">
        <v>2.0650095602294449</v>
      </c>
      <c r="AB143">
        <v>0.30302110055094689</v>
      </c>
    </row>
    <row r="144" spans="1:28" x14ac:dyDescent="0.25">
      <c r="A144">
        <v>9</v>
      </c>
      <c r="B144">
        <v>37</v>
      </c>
      <c r="C144">
        <v>11</v>
      </c>
      <c r="D144">
        <v>556</v>
      </c>
      <c r="E144">
        <v>44</v>
      </c>
      <c r="F144">
        <v>11</v>
      </c>
      <c r="G144">
        <v>9.5797088779509085</v>
      </c>
      <c r="H144" t="s">
        <v>119</v>
      </c>
      <c r="I144" t="s">
        <v>35</v>
      </c>
      <c r="J144">
        <v>0</v>
      </c>
      <c r="K144">
        <v>79</v>
      </c>
      <c r="L144" t="s">
        <v>50</v>
      </c>
      <c r="M144">
        <v>2941</v>
      </c>
      <c r="N144">
        <v>4.1851232023909688</v>
      </c>
      <c r="O144">
        <v>9.5797088779509085</v>
      </c>
      <c r="P144">
        <v>8.927209110930562</v>
      </c>
      <c r="Q144">
        <v>20.441918712109331</v>
      </c>
      <c r="R144">
        <v>4</v>
      </c>
      <c r="S144" t="s">
        <v>31</v>
      </c>
      <c r="T144">
        <v>2020</v>
      </c>
      <c r="U144" s="1">
        <v>45901.600802198707</v>
      </c>
      <c r="V144" t="s">
        <v>32</v>
      </c>
      <c r="W144" t="s">
        <v>130</v>
      </c>
      <c r="X144">
        <v>1.1482603636649229</v>
      </c>
      <c r="Y144">
        <v>1.1482603636649229</v>
      </c>
      <c r="Z144">
        <v>1.420291122049091</v>
      </c>
      <c r="AA144">
        <v>2.4175450527031619</v>
      </c>
      <c r="AB144">
        <v>0.29315668106616177</v>
      </c>
    </row>
    <row r="145" spans="1:28" x14ac:dyDescent="0.25">
      <c r="A145">
        <v>7</v>
      </c>
      <c r="B145">
        <v>35</v>
      </c>
      <c r="C145">
        <v>11</v>
      </c>
      <c r="D145">
        <v>838</v>
      </c>
      <c r="E145">
        <v>61</v>
      </c>
      <c r="F145">
        <v>11</v>
      </c>
      <c r="G145">
        <v>14.828551573678849</v>
      </c>
      <c r="H145" t="s">
        <v>67</v>
      </c>
      <c r="I145" t="s">
        <v>35</v>
      </c>
      <c r="J145">
        <v>0</v>
      </c>
      <c r="K145">
        <v>94</v>
      </c>
      <c r="L145" t="s">
        <v>82</v>
      </c>
      <c r="M145">
        <v>2805</v>
      </c>
      <c r="N145">
        <v>7.7877540923655033</v>
      </c>
      <c r="O145">
        <v>14.828551573678849</v>
      </c>
      <c r="P145">
        <v>6.0576597321778536</v>
      </c>
      <c r="Q145">
        <v>24.998916164040569</v>
      </c>
      <c r="R145">
        <v>3</v>
      </c>
      <c r="S145" t="s">
        <v>31</v>
      </c>
      <c r="T145">
        <v>2020</v>
      </c>
      <c r="U145" s="1">
        <v>45901.600802198707</v>
      </c>
      <c r="V145" t="s">
        <v>32</v>
      </c>
      <c r="W145" t="s">
        <v>130</v>
      </c>
      <c r="X145">
        <v>0.74181216859543775</v>
      </c>
      <c r="Y145">
        <v>0.74181216859543775</v>
      </c>
      <c r="Z145">
        <v>-3.8285515736788511</v>
      </c>
      <c r="AA145">
        <v>3.0160427807486632</v>
      </c>
      <c r="AB145">
        <v>0.475782403433546</v>
      </c>
    </row>
    <row r="146" spans="1:28" x14ac:dyDescent="0.25">
      <c r="A146">
        <v>3</v>
      </c>
      <c r="B146">
        <v>29</v>
      </c>
      <c r="C146">
        <v>10</v>
      </c>
      <c r="D146">
        <v>318</v>
      </c>
      <c r="E146">
        <v>22</v>
      </c>
      <c r="F146">
        <v>8</v>
      </c>
      <c r="G146">
        <v>8.9277206510305405</v>
      </c>
      <c r="H146" t="s">
        <v>105</v>
      </c>
      <c r="I146" t="s">
        <v>35</v>
      </c>
      <c r="J146">
        <v>0</v>
      </c>
      <c r="K146">
        <v>57</v>
      </c>
      <c r="L146" t="s">
        <v>42</v>
      </c>
      <c r="M146">
        <v>2333</v>
      </c>
      <c r="N146">
        <v>2.4313496705144639</v>
      </c>
      <c r="O146">
        <v>10.45004988461733</v>
      </c>
      <c r="P146">
        <v>3.9551302120089531</v>
      </c>
      <c r="Q146">
        <v>15.11390469409525</v>
      </c>
      <c r="R146">
        <v>2</v>
      </c>
      <c r="S146" t="s">
        <v>31</v>
      </c>
      <c r="T146">
        <v>2020</v>
      </c>
      <c r="U146" s="1">
        <v>45901.600802198707</v>
      </c>
      <c r="V146" t="s">
        <v>32</v>
      </c>
      <c r="W146" t="s">
        <v>130</v>
      </c>
      <c r="X146">
        <v>0.9569332309810491</v>
      </c>
      <c r="Y146">
        <v>0.89608538536390558</v>
      </c>
      <c r="Z146">
        <v>-0.45004988461732859</v>
      </c>
      <c r="AA146">
        <v>2.1988855550792969</v>
      </c>
      <c r="AB146">
        <v>0.40313094282707229</v>
      </c>
    </row>
    <row r="147" spans="1:28" x14ac:dyDescent="0.25">
      <c r="A147">
        <v>5</v>
      </c>
      <c r="B147">
        <v>26</v>
      </c>
      <c r="C147">
        <v>10</v>
      </c>
      <c r="D147">
        <v>531</v>
      </c>
      <c r="E147">
        <v>27</v>
      </c>
      <c r="F147">
        <v>10</v>
      </c>
      <c r="G147">
        <v>14.138836644589899</v>
      </c>
      <c r="H147" t="s">
        <v>127</v>
      </c>
      <c r="I147" t="s">
        <v>29</v>
      </c>
      <c r="J147">
        <v>0</v>
      </c>
      <c r="K147">
        <v>63</v>
      </c>
      <c r="L147" t="s">
        <v>66</v>
      </c>
      <c r="M147">
        <v>1993</v>
      </c>
      <c r="N147">
        <v>3.1944222245365381</v>
      </c>
      <c r="O147">
        <v>14.138836644589899</v>
      </c>
      <c r="P147">
        <v>2.7705205250531439</v>
      </c>
      <c r="Q147">
        <v>19.273817138746381</v>
      </c>
      <c r="R147">
        <v>3</v>
      </c>
      <c r="S147" t="s">
        <v>31</v>
      </c>
      <c r="T147">
        <v>2020</v>
      </c>
      <c r="U147" s="1">
        <v>45901.600802198707</v>
      </c>
      <c r="V147" t="s">
        <v>32</v>
      </c>
      <c r="W147" t="s">
        <v>130</v>
      </c>
      <c r="X147">
        <v>0.70727176863072472</v>
      </c>
      <c r="Y147">
        <v>0.70727176863072472</v>
      </c>
      <c r="Z147">
        <v>-4.1388366445898992</v>
      </c>
      <c r="AA147">
        <v>2.8449573507275461</v>
      </c>
      <c r="AB147">
        <v>0.63848233718669889</v>
      </c>
    </row>
    <row r="148" spans="1:28" x14ac:dyDescent="0.25">
      <c r="A148">
        <v>1</v>
      </c>
      <c r="B148">
        <v>30</v>
      </c>
      <c r="C148">
        <v>10</v>
      </c>
      <c r="D148">
        <v>606</v>
      </c>
      <c r="E148">
        <v>15</v>
      </c>
      <c r="F148">
        <v>10</v>
      </c>
      <c r="G148">
        <v>7.4574003666639328</v>
      </c>
      <c r="H148" t="s">
        <v>46</v>
      </c>
      <c r="I148" t="s">
        <v>29</v>
      </c>
      <c r="J148">
        <v>1</v>
      </c>
      <c r="K148">
        <v>71</v>
      </c>
      <c r="L148" t="s">
        <v>90</v>
      </c>
      <c r="M148">
        <v>1824</v>
      </c>
      <c r="N148">
        <v>0.69762689620256424</v>
      </c>
      <c r="O148">
        <v>7.4574003666639328</v>
      </c>
      <c r="P148">
        <v>3.153554405085742</v>
      </c>
      <c r="Q148">
        <v>8.4728440809994936</v>
      </c>
      <c r="R148">
        <v>1</v>
      </c>
      <c r="S148" t="s">
        <v>31</v>
      </c>
      <c r="T148">
        <v>2020</v>
      </c>
      <c r="U148" s="1">
        <v>45901.600802198707</v>
      </c>
      <c r="V148" t="s">
        <v>32</v>
      </c>
      <c r="W148" t="s">
        <v>130</v>
      </c>
      <c r="X148">
        <v>1.340949862998102</v>
      </c>
      <c r="Y148">
        <v>1.340949862998102</v>
      </c>
      <c r="Z148">
        <v>2.5425996333360672</v>
      </c>
      <c r="AA148">
        <v>3.5032894736842111</v>
      </c>
      <c r="AB148">
        <v>0.36796383388144399</v>
      </c>
    </row>
    <row r="149" spans="1:28" x14ac:dyDescent="0.25">
      <c r="A149">
        <v>7</v>
      </c>
      <c r="B149">
        <v>31</v>
      </c>
      <c r="C149">
        <v>10</v>
      </c>
      <c r="D149">
        <v>618</v>
      </c>
      <c r="E149">
        <v>39</v>
      </c>
      <c r="F149">
        <v>10</v>
      </c>
      <c r="G149">
        <v>11.28951171785593</v>
      </c>
      <c r="H149" t="s">
        <v>98</v>
      </c>
      <c r="I149" t="s">
        <v>35</v>
      </c>
      <c r="J149">
        <v>0</v>
      </c>
      <c r="K149">
        <v>70</v>
      </c>
      <c r="L149" t="s">
        <v>30</v>
      </c>
      <c r="M149">
        <v>2539</v>
      </c>
      <c r="N149">
        <v>6.6287091374397278</v>
      </c>
      <c r="O149">
        <v>12.050680804997681</v>
      </c>
      <c r="P149">
        <v>12.17316408455372</v>
      </c>
      <c r="Q149">
        <v>25.88370618596673</v>
      </c>
      <c r="R149">
        <v>4</v>
      </c>
      <c r="S149" t="s">
        <v>31</v>
      </c>
      <c r="T149">
        <v>2020</v>
      </c>
      <c r="U149" s="1">
        <v>45901.600802198707</v>
      </c>
      <c r="V149" t="s">
        <v>32</v>
      </c>
      <c r="W149" t="s">
        <v>130</v>
      </c>
      <c r="X149">
        <v>0.82982863473180524</v>
      </c>
      <c r="Y149">
        <v>0.88577790164153969</v>
      </c>
      <c r="Z149">
        <v>-2.0506808049976839</v>
      </c>
      <c r="AA149">
        <v>2.4812918471839311</v>
      </c>
      <c r="AB149">
        <v>0.4271608004922377</v>
      </c>
    </row>
    <row r="150" spans="1:28" x14ac:dyDescent="0.25">
      <c r="A150">
        <v>3</v>
      </c>
      <c r="B150">
        <v>26</v>
      </c>
      <c r="C150">
        <v>10</v>
      </c>
      <c r="D150">
        <v>3294</v>
      </c>
      <c r="E150">
        <v>14</v>
      </c>
      <c r="F150">
        <v>10</v>
      </c>
      <c r="G150">
        <v>8.603237739764154</v>
      </c>
      <c r="H150" t="s">
        <v>135</v>
      </c>
      <c r="I150" t="s">
        <v>29</v>
      </c>
      <c r="J150">
        <v>0</v>
      </c>
      <c r="K150">
        <v>34</v>
      </c>
      <c r="L150" t="s">
        <v>50</v>
      </c>
      <c r="M150">
        <v>1355</v>
      </c>
      <c r="N150">
        <v>2.3172431979328389</v>
      </c>
      <c r="O150">
        <v>8.603237739764154</v>
      </c>
      <c r="P150">
        <v>2.7306441962718959</v>
      </c>
      <c r="Q150">
        <v>12.259185567498211</v>
      </c>
      <c r="R150">
        <v>4</v>
      </c>
      <c r="S150" t="s">
        <v>31</v>
      </c>
      <c r="T150">
        <v>2020</v>
      </c>
      <c r="U150" s="1">
        <v>45901.600802198707</v>
      </c>
      <c r="V150" t="s">
        <v>32</v>
      </c>
      <c r="W150" t="s">
        <v>130</v>
      </c>
      <c r="X150">
        <v>1.1623530933918069</v>
      </c>
      <c r="Y150">
        <v>1.1623530933918069</v>
      </c>
      <c r="Z150">
        <v>1.396762260235846</v>
      </c>
      <c r="AA150">
        <v>2.2583025830258299</v>
      </c>
      <c r="AB150">
        <v>0.57143276500278517</v>
      </c>
    </row>
    <row r="151" spans="1:28" x14ac:dyDescent="0.25">
      <c r="A151">
        <v>0</v>
      </c>
      <c r="B151">
        <v>28</v>
      </c>
      <c r="C151">
        <v>10</v>
      </c>
      <c r="D151">
        <v>5612</v>
      </c>
      <c r="E151">
        <v>26</v>
      </c>
      <c r="F151">
        <v>6</v>
      </c>
      <c r="G151">
        <v>5.9928371934220204</v>
      </c>
      <c r="H151" t="s">
        <v>136</v>
      </c>
      <c r="I151" t="s">
        <v>35</v>
      </c>
      <c r="J151">
        <v>0</v>
      </c>
      <c r="K151">
        <v>64</v>
      </c>
      <c r="L151" t="s">
        <v>47</v>
      </c>
      <c r="M151">
        <v>1612</v>
      </c>
      <c r="N151">
        <v>1.8828662075102329</v>
      </c>
      <c r="O151">
        <v>9.0375131210312247</v>
      </c>
      <c r="P151">
        <v>2.6913465699180961</v>
      </c>
      <c r="Q151">
        <v>7.8455666778609157</v>
      </c>
      <c r="R151">
        <v>2</v>
      </c>
      <c r="S151" t="s">
        <v>31</v>
      </c>
      <c r="T151">
        <v>2020</v>
      </c>
      <c r="U151" s="1">
        <v>45901.600802198707</v>
      </c>
      <c r="V151" t="s">
        <v>32</v>
      </c>
      <c r="W151" t="s">
        <v>130</v>
      </c>
      <c r="X151">
        <v>1.106499085099967</v>
      </c>
      <c r="Y151">
        <v>1.0011952279607801</v>
      </c>
      <c r="Z151">
        <v>0.96248687896877527</v>
      </c>
      <c r="AA151">
        <v>3.5732009925558308</v>
      </c>
      <c r="AB151">
        <v>0.50457579459851754</v>
      </c>
    </row>
    <row r="152" spans="1:28" x14ac:dyDescent="0.25">
      <c r="A152">
        <v>1</v>
      </c>
      <c r="B152">
        <v>29</v>
      </c>
      <c r="C152">
        <v>10</v>
      </c>
      <c r="D152">
        <v>5656</v>
      </c>
      <c r="E152">
        <v>11</v>
      </c>
      <c r="F152">
        <v>9</v>
      </c>
      <c r="G152">
        <v>5.2390371663495898</v>
      </c>
      <c r="H152" t="s">
        <v>137</v>
      </c>
      <c r="I152" t="s">
        <v>35</v>
      </c>
      <c r="J152">
        <v>1</v>
      </c>
      <c r="K152">
        <v>47</v>
      </c>
      <c r="L152" t="s">
        <v>42</v>
      </c>
      <c r="M152">
        <v>1602</v>
      </c>
      <c r="N152">
        <v>1.012159598059952</v>
      </c>
      <c r="O152">
        <v>6.0002058539539576</v>
      </c>
      <c r="P152">
        <v>4.2177279610186824</v>
      </c>
      <c r="Q152">
        <v>9.3597351703792793</v>
      </c>
      <c r="R152">
        <v>1</v>
      </c>
      <c r="S152" t="s">
        <v>31</v>
      </c>
      <c r="T152">
        <v>2020</v>
      </c>
      <c r="U152" s="1">
        <v>45901.600802198707</v>
      </c>
      <c r="V152" t="s">
        <v>32</v>
      </c>
      <c r="W152" t="s">
        <v>130</v>
      </c>
      <c r="X152">
        <v>1.6666094869745669</v>
      </c>
      <c r="Y152">
        <v>1.7178729056947959</v>
      </c>
      <c r="Z152">
        <v>3.999794146046042</v>
      </c>
      <c r="AA152">
        <v>2.6404494382022472</v>
      </c>
      <c r="AB152">
        <v>0.33709021651426718</v>
      </c>
    </row>
    <row r="153" spans="1:28" x14ac:dyDescent="0.25">
      <c r="A153">
        <v>7</v>
      </c>
      <c r="B153">
        <v>35</v>
      </c>
      <c r="C153">
        <v>23</v>
      </c>
      <c r="D153">
        <v>453</v>
      </c>
      <c r="E153">
        <v>73</v>
      </c>
      <c r="F153">
        <v>23</v>
      </c>
      <c r="G153">
        <v>16.99217306822538</v>
      </c>
      <c r="H153" t="s">
        <v>92</v>
      </c>
      <c r="I153" t="s">
        <v>49</v>
      </c>
      <c r="J153">
        <v>0</v>
      </c>
      <c r="K153">
        <v>86</v>
      </c>
      <c r="L153" t="s">
        <v>36</v>
      </c>
      <c r="M153">
        <v>3051</v>
      </c>
      <c r="N153">
        <v>7.8469525743275881</v>
      </c>
      <c r="O153">
        <v>16.99217306822538</v>
      </c>
      <c r="P153">
        <v>10.34309842251241</v>
      </c>
      <c r="Q153">
        <v>29.62478622794152</v>
      </c>
      <c r="R153">
        <v>2</v>
      </c>
      <c r="S153" t="s">
        <v>31</v>
      </c>
      <c r="T153">
        <v>2021</v>
      </c>
      <c r="U153" s="1">
        <v>45901.600802198707</v>
      </c>
      <c r="V153" t="s">
        <v>32</v>
      </c>
      <c r="W153" t="s">
        <v>138</v>
      </c>
      <c r="X153">
        <v>1.3535643679976981</v>
      </c>
      <c r="Y153">
        <v>1.3535643679976981</v>
      </c>
      <c r="Z153">
        <v>6.0078269317746162</v>
      </c>
      <c r="AA153">
        <v>2.5368731563421831</v>
      </c>
      <c r="AB153">
        <v>0.50124404331048333</v>
      </c>
    </row>
    <row r="154" spans="1:28" x14ac:dyDescent="0.25">
      <c r="A154">
        <v>13</v>
      </c>
      <c r="B154">
        <v>35</v>
      </c>
      <c r="C154">
        <v>23</v>
      </c>
      <c r="D154">
        <v>1250</v>
      </c>
      <c r="E154">
        <v>62</v>
      </c>
      <c r="F154">
        <v>18</v>
      </c>
      <c r="G154">
        <v>19.797274902462959</v>
      </c>
      <c r="H154" t="s">
        <v>96</v>
      </c>
      <c r="I154" t="s">
        <v>29</v>
      </c>
      <c r="J154">
        <v>0</v>
      </c>
      <c r="K154">
        <v>139</v>
      </c>
      <c r="L154" t="s">
        <v>82</v>
      </c>
      <c r="M154">
        <v>2757</v>
      </c>
      <c r="N154">
        <v>9.7908222265541553</v>
      </c>
      <c r="O154">
        <v>24.364288866519932</v>
      </c>
      <c r="P154">
        <v>11.221979610621929</v>
      </c>
      <c r="Q154">
        <v>32.158800520002842</v>
      </c>
      <c r="R154">
        <v>1</v>
      </c>
      <c r="S154" t="s">
        <v>31</v>
      </c>
      <c r="T154">
        <v>2021</v>
      </c>
      <c r="U154" s="1">
        <v>45901.600802198707</v>
      </c>
      <c r="V154" t="s">
        <v>32</v>
      </c>
      <c r="W154" t="s">
        <v>138</v>
      </c>
      <c r="X154">
        <v>0.94400456857188808</v>
      </c>
      <c r="Y154">
        <v>0.90921604557608271</v>
      </c>
      <c r="Z154">
        <v>-1.364288866519928</v>
      </c>
      <c r="AA154">
        <v>4.5375408052230686</v>
      </c>
      <c r="AB154">
        <v>0.7953521936840019</v>
      </c>
    </row>
    <row r="155" spans="1:28" x14ac:dyDescent="0.25">
      <c r="A155">
        <v>3</v>
      </c>
      <c r="B155">
        <v>30</v>
      </c>
      <c r="C155">
        <v>18</v>
      </c>
      <c r="D155">
        <v>2371</v>
      </c>
      <c r="E155">
        <v>26</v>
      </c>
      <c r="F155">
        <v>15</v>
      </c>
      <c r="G155">
        <v>14.929328348487619</v>
      </c>
      <c r="H155" t="s">
        <v>139</v>
      </c>
      <c r="I155" t="s">
        <v>29</v>
      </c>
      <c r="J155">
        <v>0</v>
      </c>
      <c r="K155">
        <v>110</v>
      </c>
      <c r="L155" t="s">
        <v>50</v>
      </c>
      <c r="M155">
        <v>2468</v>
      </c>
      <c r="N155">
        <v>4.4249626956880093</v>
      </c>
      <c r="O155">
        <v>17.212831899523739</v>
      </c>
      <c r="P155">
        <v>7.7206378933042288</v>
      </c>
      <c r="Q155">
        <v>23.253704860806469</v>
      </c>
      <c r="R155">
        <v>8</v>
      </c>
      <c r="S155" t="s">
        <v>31</v>
      </c>
      <c r="T155">
        <v>2021</v>
      </c>
      <c r="U155" s="1">
        <v>45901.600802198707</v>
      </c>
      <c r="V155" t="s">
        <v>32</v>
      </c>
      <c r="W155" t="s">
        <v>138</v>
      </c>
      <c r="X155">
        <v>1.045731469700697</v>
      </c>
      <c r="Y155">
        <v>1.004733746211667</v>
      </c>
      <c r="Z155">
        <v>0.78716810047626495</v>
      </c>
      <c r="AA155">
        <v>4.0113452188006482</v>
      </c>
      <c r="AB155">
        <v>0.62769646311067107</v>
      </c>
    </row>
    <row r="156" spans="1:28" x14ac:dyDescent="0.25">
      <c r="A156">
        <v>9</v>
      </c>
      <c r="B156">
        <v>37</v>
      </c>
      <c r="C156">
        <v>17</v>
      </c>
      <c r="D156">
        <v>647</v>
      </c>
      <c r="E156">
        <v>48</v>
      </c>
      <c r="F156">
        <v>13</v>
      </c>
      <c r="G156">
        <v>17.640392211265858</v>
      </c>
      <c r="H156" t="s">
        <v>34</v>
      </c>
      <c r="I156" t="s">
        <v>35</v>
      </c>
      <c r="J156">
        <v>0</v>
      </c>
      <c r="K156">
        <v>133</v>
      </c>
      <c r="L156" t="s">
        <v>36</v>
      </c>
      <c r="M156">
        <v>3229</v>
      </c>
      <c r="N156">
        <v>9.8182889055460691</v>
      </c>
      <c r="O156">
        <v>20.68507192377001</v>
      </c>
      <c r="P156">
        <v>9.8084082640707493</v>
      </c>
      <c r="Q156">
        <v>31.892183629795909</v>
      </c>
      <c r="R156">
        <v>5</v>
      </c>
      <c r="S156" t="s">
        <v>31</v>
      </c>
      <c r="T156">
        <v>2021</v>
      </c>
      <c r="U156" s="1">
        <v>45901.600802198707</v>
      </c>
      <c r="V156" t="s">
        <v>32</v>
      </c>
      <c r="W156" t="s">
        <v>138</v>
      </c>
      <c r="X156">
        <v>0.82184872562442712</v>
      </c>
      <c r="Y156">
        <v>0.73694506586410691</v>
      </c>
      <c r="Z156">
        <v>-3.68507192377001</v>
      </c>
      <c r="AA156">
        <v>3.7070300402601419</v>
      </c>
      <c r="AB156">
        <v>0.57654272937110584</v>
      </c>
    </row>
    <row r="157" spans="1:28" x14ac:dyDescent="0.25">
      <c r="A157">
        <v>2</v>
      </c>
      <c r="B157">
        <v>34</v>
      </c>
      <c r="C157">
        <v>16</v>
      </c>
      <c r="D157">
        <v>838</v>
      </c>
      <c r="E157">
        <v>39</v>
      </c>
      <c r="F157">
        <v>16</v>
      </c>
      <c r="G157">
        <v>16.829615563154221</v>
      </c>
      <c r="H157" t="s">
        <v>67</v>
      </c>
      <c r="I157" t="s">
        <v>29</v>
      </c>
      <c r="J157">
        <v>0</v>
      </c>
      <c r="K157">
        <v>98</v>
      </c>
      <c r="L157" t="s">
        <v>82</v>
      </c>
      <c r="M157">
        <v>2833</v>
      </c>
      <c r="N157">
        <v>5.2691589053720236</v>
      </c>
      <c r="O157">
        <v>16.829615563154221</v>
      </c>
      <c r="P157">
        <v>11.07297333143652</v>
      </c>
      <c r="Q157">
        <v>28.448098309338089</v>
      </c>
      <c r="R157">
        <v>5</v>
      </c>
      <c r="S157" t="s">
        <v>31</v>
      </c>
      <c r="T157">
        <v>2021</v>
      </c>
      <c r="U157" s="1">
        <v>45901.600802198707</v>
      </c>
      <c r="V157" t="s">
        <v>32</v>
      </c>
      <c r="W157" t="s">
        <v>138</v>
      </c>
      <c r="X157">
        <v>0.95070501996667511</v>
      </c>
      <c r="Y157">
        <v>0.95070501996667511</v>
      </c>
      <c r="Z157">
        <v>-0.82961556315422058</v>
      </c>
      <c r="AA157">
        <v>3.1133074479350511</v>
      </c>
      <c r="AB157">
        <v>0.53465068855767028</v>
      </c>
    </row>
    <row r="158" spans="1:28" x14ac:dyDescent="0.25">
      <c r="A158">
        <v>2</v>
      </c>
      <c r="B158">
        <v>25</v>
      </c>
      <c r="C158">
        <v>15</v>
      </c>
      <c r="D158">
        <v>755</v>
      </c>
      <c r="E158">
        <v>18</v>
      </c>
      <c r="F158">
        <v>15</v>
      </c>
      <c r="G158">
        <v>9.9919508919119835</v>
      </c>
      <c r="H158" t="s">
        <v>70</v>
      </c>
      <c r="I158" t="s">
        <v>29</v>
      </c>
      <c r="J158">
        <v>0</v>
      </c>
      <c r="K158">
        <v>54</v>
      </c>
      <c r="L158" t="s">
        <v>56</v>
      </c>
      <c r="M158">
        <v>1807</v>
      </c>
      <c r="N158">
        <v>1.6055144965648649</v>
      </c>
      <c r="O158">
        <v>9.9919508919119835</v>
      </c>
      <c r="P158">
        <v>1.998272789642215</v>
      </c>
      <c r="Q158">
        <v>12.6360088121146</v>
      </c>
      <c r="R158">
        <v>2</v>
      </c>
      <c r="S158" t="s">
        <v>31</v>
      </c>
      <c r="T158">
        <v>2021</v>
      </c>
      <c r="U158" s="1">
        <v>45901.600802198707</v>
      </c>
      <c r="V158" t="s">
        <v>32</v>
      </c>
      <c r="W158" t="s">
        <v>138</v>
      </c>
      <c r="X158">
        <v>1.5012083388181781</v>
      </c>
      <c r="Y158">
        <v>1.5012083388181781</v>
      </c>
      <c r="Z158">
        <v>5.0080491080880174</v>
      </c>
      <c r="AA158">
        <v>2.6895406751521862</v>
      </c>
      <c r="AB158">
        <v>0.49766219162815628</v>
      </c>
    </row>
    <row r="159" spans="1:28" x14ac:dyDescent="0.25">
      <c r="A159">
        <v>4</v>
      </c>
      <c r="B159">
        <v>35</v>
      </c>
      <c r="C159">
        <v>15</v>
      </c>
      <c r="D159">
        <v>6854</v>
      </c>
      <c r="E159">
        <v>40</v>
      </c>
      <c r="F159">
        <v>15</v>
      </c>
      <c r="G159">
        <v>17.34798476099968</v>
      </c>
      <c r="H159" t="s">
        <v>140</v>
      </c>
      <c r="I159" t="s">
        <v>29</v>
      </c>
      <c r="J159">
        <v>0</v>
      </c>
      <c r="K159">
        <v>90</v>
      </c>
      <c r="L159" t="s">
        <v>82</v>
      </c>
      <c r="M159">
        <v>2401</v>
      </c>
      <c r="N159">
        <v>5.8745885360985994</v>
      </c>
      <c r="O159">
        <v>17.34798476099968</v>
      </c>
      <c r="P159">
        <v>6.9192486386746168</v>
      </c>
      <c r="Q159">
        <v>25.778406299650669</v>
      </c>
      <c r="R159">
        <v>3</v>
      </c>
      <c r="S159" t="s">
        <v>31</v>
      </c>
      <c r="T159">
        <v>2021</v>
      </c>
      <c r="U159" s="1">
        <v>45901.600802198707</v>
      </c>
      <c r="V159" t="s">
        <v>32</v>
      </c>
      <c r="W159" t="s">
        <v>138</v>
      </c>
      <c r="X159">
        <v>0.86465374547260232</v>
      </c>
      <c r="Y159">
        <v>0.86465374547260232</v>
      </c>
      <c r="Z159">
        <v>-2.34798476099968</v>
      </c>
      <c r="AA159">
        <v>3.3735943356934608</v>
      </c>
      <c r="AB159">
        <v>0.65027847917116666</v>
      </c>
    </row>
    <row r="160" spans="1:28" x14ac:dyDescent="0.25">
      <c r="A160">
        <v>1</v>
      </c>
      <c r="B160">
        <v>33</v>
      </c>
      <c r="C160">
        <v>14</v>
      </c>
      <c r="D160">
        <v>522</v>
      </c>
      <c r="E160">
        <v>46</v>
      </c>
      <c r="F160">
        <v>9</v>
      </c>
      <c r="G160">
        <v>4.8559365961700678</v>
      </c>
      <c r="H160" t="s">
        <v>118</v>
      </c>
      <c r="I160" t="s">
        <v>35</v>
      </c>
      <c r="J160">
        <v>1</v>
      </c>
      <c r="K160">
        <v>69</v>
      </c>
      <c r="L160" t="s">
        <v>90</v>
      </c>
      <c r="M160">
        <v>2762</v>
      </c>
      <c r="N160">
        <v>4.8932161461561918</v>
      </c>
      <c r="O160">
        <v>10.184118073433639</v>
      </c>
      <c r="P160">
        <v>3.808695247396825</v>
      </c>
      <c r="Q160">
        <v>12.10089787095785</v>
      </c>
      <c r="R160">
        <v>4</v>
      </c>
      <c r="S160" t="s">
        <v>31</v>
      </c>
      <c r="T160">
        <v>2021</v>
      </c>
      <c r="U160" s="1">
        <v>45901.600802198707</v>
      </c>
      <c r="V160" t="s">
        <v>32</v>
      </c>
      <c r="W160" t="s">
        <v>138</v>
      </c>
      <c r="X160">
        <v>1.374689482098651</v>
      </c>
      <c r="Y160">
        <v>1.85340146473461</v>
      </c>
      <c r="Z160">
        <v>3.8158819265663619</v>
      </c>
      <c r="AA160">
        <v>2.24837074583635</v>
      </c>
      <c r="AB160">
        <v>0.33185033548480353</v>
      </c>
    </row>
    <row r="161" spans="1:28" x14ac:dyDescent="0.25">
      <c r="A161">
        <v>5</v>
      </c>
      <c r="B161">
        <v>30</v>
      </c>
      <c r="C161">
        <v>13</v>
      </c>
      <c r="D161">
        <v>618</v>
      </c>
      <c r="E161">
        <v>42</v>
      </c>
      <c r="F161">
        <v>11</v>
      </c>
      <c r="G161">
        <v>13.494622506201271</v>
      </c>
      <c r="H161" t="s">
        <v>98</v>
      </c>
      <c r="I161" t="s">
        <v>35</v>
      </c>
      <c r="J161">
        <v>0</v>
      </c>
      <c r="K161">
        <v>58</v>
      </c>
      <c r="L161" t="s">
        <v>30</v>
      </c>
      <c r="M161">
        <v>2119</v>
      </c>
      <c r="N161">
        <v>5.0249252915382394</v>
      </c>
      <c r="O161">
        <v>15.77813187986612</v>
      </c>
      <c r="P161">
        <v>9.6655836254358292</v>
      </c>
      <c r="Q161">
        <v>23.095514383167028</v>
      </c>
      <c r="R161">
        <v>1</v>
      </c>
      <c r="S161" t="s">
        <v>31</v>
      </c>
      <c r="T161">
        <v>2021</v>
      </c>
      <c r="U161" s="1">
        <v>45901.600802198707</v>
      </c>
      <c r="V161" t="s">
        <v>32</v>
      </c>
      <c r="W161" t="s">
        <v>138</v>
      </c>
      <c r="X161">
        <v>0.82392517054498748</v>
      </c>
      <c r="Y161">
        <v>0.81513951167919685</v>
      </c>
      <c r="Z161">
        <v>-2.7781318798661232</v>
      </c>
      <c r="AA161">
        <v>2.4634261444077401</v>
      </c>
      <c r="AB161">
        <v>0.67014245832371455</v>
      </c>
    </row>
    <row r="162" spans="1:28" x14ac:dyDescent="0.25">
      <c r="A162">
        <v>5</v>
      </c>
      <c r="B162">
        <v>33</v>
      </c>
      <c r="C162">
        <v>12</v>
      </c>
      <c r="D162">
        <v>998</v>
      </c>
      <c r="E162">
        <v>43</v>
      </c>
      <c r="F162">
        <v>7</v>
      </c>
      <c r="G162">
        <v>8.2427761740982533</v>
      </c>
      <c r="H162" t="s">
        <v>141</v>
      </c>
      <c r="I162" t="s">
        <v>29</v>
      </c>
      <c r="J162">
        <v>0</v>
      </c>
      <c r="K162">
        <v>88</v>
      </c>
      <c r="L162" t="s">
        <v>142</v>
      </c>
      <c r="M162">
        <v>2905</v>
      </c>
      <c r="N162">
        <v>7.3435308095067739</v>
      </c>
      <c r="O162">
        <v>12.0485858283937</v>
      </c>
      <c r="P162">
        <v>2.393366606906056</v>
      </c>
      <c r="Q162">
        <v>12.169118613004679</v>
      </c>
      <c r="R162">
        <v>8</v>
      </c>
      <c r="S162" t="s">
        <v>31</v>
      </c>
      <c r="T162">
        <v>2021</v>
      </c>
      <c r="U162" s="1">
        <v>45901.600802198707</v>
      </c>
      <c r="V162" t="s">
        <v>32</v>
      </c>
      <c r="W162" t="s">
        <v>138</v>
      </c>
      <c r="X162">
        <v>0.99596750779836751</v>
      </c>
      <c r="Y162">
        <v>0.84922844587197455</v>
      </c>
      <c r="Z162">
        <v>-4.8585828393697739E-2</v>
      </c>
      <c r="AA162">
        <v>2.7263339070567989</v>
      </c>
      <c r="AB162">
        <v>0.37327804631856548</v>
      </c>
    </row>
    <row r="163" spans="1:28" x14ac:dyDescent="0.25">
      <c r="A163">
        <v>10</v>
      </c>
      <c r="B163">
        <v>36</v>
      </c>
      <c r="C163">
        <v>12</v>
      </c>
      <c r="D163">
        <v>1776</v>
      </c>
      <c r="E163">
        <v>41</v>
      </c>
      <c r="F163">
        <v>12</v>
      </c>
      <c r="G163">
        <v>12.92943012341857</v>
      </c>
      <c r="H163" t="s">
        <v>143</v>
      </c>
      <c r="I163" t="s">
        <v>35</v>
      </c>
      <c r="J163">
        <v>0</v>
      </c>
      <c r="K163">
        <v>80</v>
      </c>
      <c r="L163" t="s">
        <v>66</v>
      </c>
      <c r="M163">
        <v>3003</v>
      </c>
      <c r="N163">
        <v>5.8197460696101189</v>
      </c>
      <c r="O163">
        <v>12.92943012341857</v>
      </c>
      <c r="P163">
        <v>6.5497220447286963</v>
      </c>
      <c r="Q163">
        <v>21.700689913704991</v>
      </c>
      <c r="R163">
        <v>6</v>
      </c>
      <c r="S163" t="s">
        <v>31</v>
      </c>
      <c r="T163">
        <v>2021</v>
      </c>
      <c r="U163" s="1">
        <v>45901.600802198707</v>
      </c>
      <c r="V163" t="s">
        <v>32</v>
      </c>
      <c r="W163" t="s">
        <v>138</v>
      </c>
      <c r="X163">
        <v>0.92811515166974534</v>
      </c>
      <c r="Y163">
        <v>0.92811515166974534</v>
      </c>
      <c r="Z163">
        <v>-0.92943012341856956</v>
      </c>
      <c r="AA163">
        <v>2.3976023976023981</v>
      </c>
      <c r="AB163">
        <v>0.38749540829426282</v>
      </c>
    </row>
    <row r="164" spans="1:28" x14ac:dyDescent="0.25">
      <c r="A164">
        <v>8</v>
      </c>
      <c r="B164">
        <v>35</v>
      </c>
      <c r="C164">
        <v>12</v>
      </c>
      <c r="D164">
        <v>6818</v>
      </c>
      <c r="E164">
        <v>48</v>
      </c>
      <c r="F164">
        <v>12</v>
      </c>
      <c r="G164">
        <v>6.4967118930071592</v>
      </c>
      <c r="H164" t="s">
        <v>144</v>
      </c>
      <c r="I164" t="s">
        <v>35</v>
      </c>
      <c r="J164">
        <v>0</v>
      </c>
      <c r="K164">
        <v>72</v>
      </c>
      <c r="L164" t="s">
        <v>56</v>
      </c>
      <c r="M164">
        <v>2480</v>
      </c>
      <c r="N164">
        <v>5.6742051569744953</v>
      </c>
      <c r="O164">
        <v>6.4967118930071592</v>
      </c>
      <c r="P164">
        <v>5.8269183831289411</v>
      </c>
      <c r="Q164">
        <v>14.606812160462139</v>
      </c>
      <c r="R164">
        <v>3</v>
      </c>
      <c r="S164" t="s">
        <v>31</v>
      </c>
      <c r="T164">
        <v>2021</v>
      </c>
      <c r="U164" s="1">
        <v>45901.600802198707</v>
      </c>
      <c r="V164" t="s">
        <v>32</v>
      </c>
      <c r="W164" t="s">
        <v>138</v>
      </c>
      <c r="X164">
        <v>1.847088219029136</v>
      </c>
      <c r="Y164">
        <v>1.847088219029136</v>
      </c>
      <c r="Z164">
        <v>5.5032881069928408</v>
      </c>
      <c r="AA164">
        <v>2.612903225806452</v>
      </c>
      <c r="AB164">
        <v>0.2357677703107437</v>
      </c>
    </row>
    <row r="165" spans="1:28" x14ac:dyDescent="0.25">
      <c r="A165">
        <v>5</v>
      </c>
      <c r="B165">
        <v>28</v>
      </c>
      <c r="C165">
        <v>11</v>
      </c>
      <c r="D165">
        <v>750</v>
      </c>
      <c r="E165">
        <v>40</v>
      </c>
      <c r="F165">
        <v>7</v>
      </c>
      <c r="G165">
        <v>6.317741796374321</v>
      </c>
      <c r="H165" t="s">
        <v>101</v>
      </c>
      <c r="I165" t="s">
        <v>35</v>
      </c>
      <c r="J165">
        <v>0</v>
      </c>
      <c r="K165">
        <v>61</v>
      </c>
      <c r="L165" t="s">
        <v>30</v>
      </c>
      <c r="M165">
        <v>1468</v>
      </c>
      <c r="N165">
        <v>3.932821206748486</v>
      </c>
      <c r="O165">
        <v>10.123590916395189</v>
      </c>
      <c r="P165">
        <v>6.2790243793278933</v>
      </c>
      <c r="Q165">
        <v>14.36690728366375</v>
      </c>
      <c r="R165">
        <v>0</v>
      </c>
      <c r="S165" t="s">
        <v>31</v>
      </c>
      <c r="T165">
        <v>2021</v>
      </c>
      <c r="U165" s="1">
        <v>45901.600802198707</v>
      </c>
      <c r="V165" t="s">
        <v>32</v>
      </c>
      <c r="W165" t="s">
        <v>138</v>
      </c>
      <c r="X165">
        <v>1.086570969811262</v>
      </c>
      <c r="Y165">
        <v>1.1079908336895341</v>
      </c>
      <c r="Z165">
        <v>0.87640908360481262</v>
      </c>
      <c r="AA165">
        <v>3.7397820163487738</v>
      </c>
      <c r="AB165">
        <v>0.620656118852566</v>
      </c>
    </row>
    <row r="166" spans="1:28" x14ac:dyDescent="0.25">
      <c r="A166">
        <v>7</v>
      </c>
      <c r="B166">
        <v>38</v>
      </c>
      <c r="C166">
        <v>11</v>
      </c>
      <c r="D166">
        <v>7322</v>
      </c>
      <c r="E166">
        <v>68</v>
      </c>
      <c r="F166">
        <v>9</v>
      </c>
      <c r="G166">
        <v>8.3835691213607788</v>
      </c>
      <c r="H166" t="s">
        <v>145</v>
      </c>
      <c r="I166" t="s">
        <v>35</v>
      </c>
      <c r="J166">
        <v>0</v>
      </c>
      <c r="K166">
        <v>97</v>
      </c>
      <c r="L166" t="s">
        <v>42</v>
      </c>
      <c r="M166">
        <v>3034</v>
      </c>
      <c r="N166">
        <v>7.6313808765262374</v>
      </c>
      <c r="O166">
        <v>9.9059061035513878</v>
      </c>
      <c r="P166">
        <v>9.0585806472226977</v>
      </c>
      <c r="Q166">
        <v>19.449898300692439</v>
      </c>
      <c r="R166">
        <v>6</v>
      </c>
      <c r="S166" t="s">
        <v>31</v>
      </c>
      <c r="T166">
        <v>2021</v>
      </c>
      <c r="U166" s="1">
        <v>45901.600802198707</v>
      </c>
      <c r="V166" t="s">
        <v>32</v>
      </c>
      <c r="W166" t="s">
        <v>138</v>
      </c>
      <c r="X166">
        <v>1.110448643971738</v>
      </c>
      <c r="Y166">
        <v>1.07352845425567</v>
      </c>
      <c r="Z166">
        <v>1.094093896448612</v>
      </c>
      <c r="AA166">
        <v>2.8773895847066582</v>
      </c>
      <c r="AB166">
        <v>0.29384691803547303</v>
      </c>
    </row>
    <row r="167" spans="1:28" x14ac:dyDescent="0.25">
      <c r="A167">
        <v>3</v>
      </c>
      <c r="B167">
        <v>37</v>
      </c>
      <c r="C167">
        <v>11</v>
      </c>
      <c r="D167">
        <v>7696</v>
      </c>
      <c r="E167">
        <v>27</v>
      </c>
      <c r="F167">
        <v>8</v>
      </c>
      <c r="G167">
        <v>9.1660500336438417</v>
      </c>
      <c r="H167" t="s">
        <v>125</v>
      </c>
      <c r="I167" t="s">
        <v>32</v>
      </c>
      <c r="J167">
        <v>0</v>
      </c>
      <c r="K167">
        <v>71</v>
      </c>
      <c r="L167" t="s">
        <v>126</v>
      </c>
      <c r="M167">
        <v>3278</v>
      </c>
      <c r="N167">
        <v>4.062802174128592</v>
      </c>
      <c r="O167">
        <v>11.44952037371695</v>
      </c>
      <c r="P167">
        <v>1.043409519828856</v>
      </c>
      <c r="Q167">
        <v>11.97424087673426</v>
      </c>
      <c r="R167">
        <v>4</v>
      </c>
      <c r="S167" t="s">
        <v>31</v>
      </c>
      <c r="T167">
        <v>2021</v>
      </c>
      <c r="U167" s="1">
        <v>45901.600802198707</v>
      </c>
      <c r="V167" t="s">
        <v>32</v>
      </c>
      <c r="W167" t="s">
        <v>138</v>
      </c>
      <c r="X167">
        <v>0.96073893411737565</v>
      </c>
      <c r="Y167">
        <v>0.87278598421742482</v>
      </c>
      <c r="Z167">
        <v>-0.44952037371695042</v>
      </c>
      <c r="AA167">
        <v>1.949359365466748</v>
      </c>
      <c r="AB167">
        <v>0.31435534888179539</v>
      </c>
    </row>
    <row r="168" spans="1:28" x14ac:dyDescent="0.25">
      <c r="A168">
        <v>10</v>
      </c>
      <c r="B168">
        <v>32</v>
      </c>
      <c r="C168">
        <v>11</v>
      </c>
      <c r="D168">
        <v>7768</v>
      </c>
      <c r="E168">
        <v>58</v>
      </c>
      <c r="F168">
        <v>10</v>
      </c>
      <c r="G168">
        <v>7.7612572982907304</v>
      </c>
      <c r="H168" t="s">
        <v>146</v>
      </c>
      <c r="I168" t="s">
        <v>35</v>
      </c>
      <c r="J168">
        <v>0</v>
      </c>
      <c r="K168">
        <v>76</v>
      </c>
      <c r="L168" t="s">
        <v>38</v>
      </c>
      <c r="M168">
        <v>2367</v>
      </c>
      <c r="N168">
        <v>7.2129182433709502</v>
      </c>
      <c r="O168">
        <v>8.522430308163166</v>
      </c>
      <c r="P168">
        <v>7.4731510020792484</v>
      </c>
      <c r="Q168">
        <v>18.232208833098412</v>
      </c>
      <c r="R168">
        <v>4</v>
      </c>
      <c r="S168" t="s">
        <v>31</v>
      </c>
      <c r="T168">
        <v>2021</v>
      </c>
      <c r="U168" s="1">
        <v>45901.600802198707</v>
      </c>
      <c r="V168" t="s">
        <v>32</v>
      </c>
      <c r="W168" t="s">
        <v>138</v>
      </c>
      <c r="X168">
        <v>1.2907116400193619</v>
      </c>
      <c r="Y168">
        <v>1.2884510351437919</v>
      </c>
      <c r="Z168">
        <v>2.477569691836834</v>
      </c>
      <c r="AA168">
        <v>2.8897338403041819</v>
      </c>
      <c r="AB168">
        <v>0.32404677977806717</v>
      </c>
    </row>
    <row r="169" spans="1:28" x14ac:dyDescent="0.25">
      <c r="A169">
        <v>3</v>
      </c>
      <c r="B169">
        <v>35</v>
      </c>
      <c r="C169">
        <v>11</v>
      </c>
      <c r="D169">
        <v>8026</v>
      </c>
      <c r="E169">
        <v>64</v>
      </c>
      <c r="F169">
        <v>7</v>
      </c>
      <c r="G169">
        <v>7.1858687195926896</v>
      </c>
      <c r="H169" t="s">
        <v>147</v>
      </c>
      <c r="I169" t="s">
        <v>35</v>
      </c>
      <c r="J169">
        <v>0</v>
      </c>
      <c r="K169">
        <v>87</v>
      </c>
      <c r="L169" t="s">
        <v>132</v>
      </c>
      <c r="M169">
        <v>2940</v>
      </c>
      <c r="N169">
        <v>6.9391438914462924</v>
      </c>
      <c r="O169">
        <v>10.23054376989603</v>
      </c>
      <c r="P169">
        <v>6.288568283431232</v>
      </c>
      <c r="Q169">
        <v>17.00254667643458</v>
      </c>
      <c r="R169">
        <v>7</v>
      </c>
      <c r="S169" t="s">
        <v>31</v>
      </c>
      <c r="T169">
        <v>2021</v>
      </c>
      <c r="U169" s="1">
        <v>45901.600802198707</v>
      </c>
      <c r="V169" t="s">
        <v>32</v>
      </c>
      <c r="W169" t="s">
        <v>138</v>
      </c>
      <c r="X169">
        <v>1.075211664933015</v>
      </c>
      <c r="Y169">
        <v>0.97413413369410595</v>
      </c>
      <c r="Z169">
        <v>0.76945623010396957</v>
      </c>
      <c r="AA169">
        <v>2.6632653061224492</v>
      </c>
      <c r="AB169">
        <v>0.31317991132334788</v>
      </c>
    </row>
    <row r="170" spans="1:28" x14ac:dyDescent="0.25">
      <c r="A170">
        <v>2</v>
      </c>
      <c r="B170">
        <v>35</v>
      </c>
      <c r="C170">
        <v>11</v>
      </c>
      <c r="D170">
        <v>8865</v>
      </c>
      <c r="E170">
        <v>35</v>
      </c>
      <c r="F170">
        <v>10</v>
      </c>
      <c r="G170">
        <v>10.736988637596371</v>
      </c>
      <c r="H170" t="s">
        <v>133</v>
      </c>
      <c r="I170" t="s">
        <v>29</v>
      </c>
      <c r="J170">
        <v>0</v>
      </c>
      <c r="K170">
        <v>77</v>
      </c>
      <c r="L170" t="s">
        <v>47</v>
      </c>
      <c r="M170">
        <v>2970</v>
      </c>
      <c r="N170">
        <v>2.9976101331412792</v>
      </c>
      <c r="O170">
        <v>11.49816060438752</v>
      </c>
      <c r="P170">
        <v>5.5388928959146142</v>
      </c>
      <c r="Q170">
        <v>17.14851103909314</v>
      </c>
      <c r="R170">
        <v>7</v>
      </c>
      <c r="S170" t="s">
        <v>31</v>
      </c>
      <c r="T170">
        <v>2021</v>
      </c>
      <c r="U170" s="1">
        <v>45901.600802198707</v>
      </c>
      <c r="V170" t="s">
        <v>32</v>
      </c>
      <c r="W170" t="s">
        <v>138</v>
      </c>
      <c r="X170">
        <v>0.95667475681306524</v>
      </c>
      <c r="Y170">
        <v>0.93135983817513335</v>
      </c>
      <c r="Z170">
        <v>-0.49816060438752169</v>
      </c>
      <c r="AA170">
        <v>2.333333333333333</v>
      </c>
      <c r="AB170">
        <v>0.34842910922386428</v>
      </c>
    </row>
    <row r="171" spans="1:28" x14ac:dyDescent="0.25">
      <c r="A171">
        <v>8</v>
      </c>
      <c r="B171">
        <v>36</v>
      </c>
      <c r="C171">
        <v>10</v>
      </c>
      <c r="D171">
        <v>531</v>
      </c>
      <c r="E171">
        <v>46</v>
      </c>
      <c r="F171">
        <v>10</v>
      </c>
      <c r="G171">
        <v>12.027457922697071</v>
      </c>
      <c r="H171" t="s">
        <v>127</v>
      </c>
      <c r="I171" t="s">
        <v>29</v>
      </c>
      <c r="J171">
        <v>1</v>
      </c>
      <c r="K171">
        <v>83</v>
      </c>
      <c r="L171" t="s">
        <v>66</v>
      </c>
      <c r="M171">
        <v>2994</v>
      </c>
      <c r="N171">
        <v>5.7671405784785748</v>
      </c>
      <c r="O171">
        <v>12.788629919290541</v>
      </c>
      <c r="P171">
        <v>6.6519344393163919</v>
      </c>
      <c r="Q171">
        <v>21.074032761156559</v>
      </c>
      <c r="R171">
        <v>6</v>
      </c>
      <c r="S171" t="s">
        <v>31</v>
      </c>
      <c r="T171">
        <v>2021</v>
      </c>
      <c r="U171" s="1">
        <v>45901.600802198707</v>
      </c>
      <c r="V171" t="s">
        <v>32</v>
      </c>
      <c r="W171" t="s">
        <v>138</v>
      </c>
      <c r="X171">
        <v>0.78194459164979535</v>
      </c>
      <c r="Y171">
        <v>0.83143088624978323</v>
      </c>
      <c r="Z171">
        <v>-2.7886299192905439</v>
      </c>
      <c r="AA171">
        <v>2.4949899799599198</v>
      </c>
      <c r="AB171">
        <v>0.38442775308488608</v>
      </c>
    </row>
    <row r="172" spans="1:28" x14ac:dyDescent="0.25">
      <c r="A172">
        <v>6</v>
      </c>
      <c r="B172">
        <v>36</v>
      </c>
      <c r="C172">
        <v>10</v>
      </c>
      <c r="D172">
        <v>1228</v>
      </c>
      <c r="E172">
        <v>88</v>
      </c>
      <c r="F172">
        <v>10</v>
      </c>
      <c r="G172">
        <v>7.7629674924537539</v>
      </c>
      <c r="H172" t="s">
        <v>148</v>
      </c>
      <c r="I172" t="s">
        <v>35</v>
      </c>
      <c r="J172">
        <v>0</v>
      </c>
      <c r="K172">
        <v>89</v>
      </c>
      <c r="L172" t="s">
        <v>50</v>
      </c>
      <c r="M172">
        <v>3135</v>
      </c>
      <c r="N172">
        <v>8.8118526572361588</v>
      </c>
      <c r="O172">
        <v>9.285304862074554</v>
      </c>
      <c r="P172">
        <v>11.142259582877159</v>
      </c>
      <c r="Q172">
        <v>22.98672279715538</v>
      </c>
      <c r="R172">
        <v>10</v>
      </c>
      <c r="S172" t="s">
        <v>31</v>
      </c>
      <c r="T172">
        <v>2021</v>
      </c>
      <c r="U172" s="1">
        <v>45901.600802198707</v>
      </c>
      <c r="V172" t="s">
        <v>32</v>
      </c>
      <c r="W172" t="s">
        <v>138</v>
      </c>
      <c r="X172">
        <v>1.076970562468508</v>
      </c>
      <c r="Y172">
        <v>1.288167187318616</v>
      </c>
      <c r="Z172">
        <v>0.71469513792544603</v>
      </c>
      <c r="AA172">
        <v>2.5550239234449759</v>
      </c>
      <c r="AB172">
        <v>0.26656377594472402</v>
      </c>
    </row>
    <row r="173" spans="1:28" x14ac:dyDescent="0.25">
      <c r="A173">
        <v>5</v>
      </c>
      <c r="B173">
        <v>30</v>
      </c>
      <c r="C173">
        <v>10</v>
      </c>
      <c r="D173">
        <v>6026</v>
      </c>
      <c r="E173">
        <v>29</v>
      </c>
      <c r="F173">
        <v>7</v>
      </c>
      <c r="G173">
        <v>7.7302985908463597</v>
      </c>
      <c r="H173" t="s">
        <v>111</v>
      </c>
      <c r="I173" t="s">
        <v>35</v>
      </c>
      <c r="J173">
        <v>0</v>
      </c>
      <c r="K173">
        <v>74</v>
      </c>
      <c r="L173" t="s">
        <v>64</v>
      </c>
      <c r="M173">
        <v>2532</v>
      </c>
      <c r="N173">
        <v>4.3837889395654202</v>
      </c>
      <c r="O173">
        <v>10.01377157587558</v>
      </c>
      <c r="P173">
        <v>3.004405621439219</v>
      </c>
      <c r="Q173">
        <v>11.76967224478722</v>
      </c>
      <c r="R173">
        <v>8</v>
      </c>
      <c r="S173" t="s">
        <v>31</v>
      </c>
      <c r="T173">
        <v>2021</v>
      </c>
      <c r="U173" s="1">
        <v>45901.600802198707</v>
      </c>
      <c r="V173" t="s">
        <v>32</v>
      </c>
      <c r="W173" t="s">
        <v>138</v>
      </c>
      <c r="X173">
        <v>0.99862473636718874</v>
      </c>
      <c r="Y173">
        <v>0.90552776425594683</v>
      </c>
      <c r="Z173">
        <v>-1.3771575875580311E-2</v>
      </c>
      <c r="AA173">
        <v>2.6303317535545019</v>
      </c>
      <c r="AB173">
        <v>0.35593974795766292</v>
      </c>
    </row>
    <row r="174" spans="1:28" x14ac:dyDescent="0.25">
      <c r="A174">
        <v>2</v>
      </c>
      <c r="B174">
        <v>33</v>
      </c>
      <c r="C174">
        <v>10</v>
      </c>
      <c r="D174">
        <v>7230</v>
      </c>
      <c r="E174">
        <v>30</v>
      </c>
      <c r="F174">
        <v>10</v>
      </c>
      <c r="G174">
        <v>5.3638477921485901</v>
      </c>
      <c r="H174" t="s">
        <v>149</v>
      </c>
      <c r="I174" t="s">
        <v>35</v>
      </c>
      <c r="J174">
        <v>0</v>
      </c>
      <c r="K174">
        <v>40</v>
      </c>
      <c r="L174" t="s">
        <v>42</v>
      </c>
      <c r="M174">
        <v>1928</v>
      </c>
      <c r="N174">
        <v>3.0330052264034748</v>
      </c>
      <c r="O174">
        <v>5.3638477921485901</v>
      </c>
      <c r="P174">
        <v>4.7884543808177114</v>
      </c>
      <c r="Q174">
        <v>10.874114144593481</v>
      </c>
      <c r="R174">
        <v>1</v>
      </c>
      <c r="S174" t="s">
        <v>31</v>
      </c>
      <c r="T174">
        <v>2021</v>
      </c>
      <c r="U174" s="1">
        <v>45901.600802198707</v>
      </c>
      <c r="V174" t="s">
        <v>32</v>
      </c>
      <c r="W174" t="s">
        <v>138</v>
      </c>
      <c r="X174">
        <v>1.8643332897398099</v>
      </c>
      <c r="Y174">
        <v>1.8643332897398099</v>
      </c>
      <c r="Z174">
        <v>4.6361522078514099</v>
      </c>
      <c r="AA174">
        <v>1.8672199170124479</v>
      </c>
      <c r="AB174">
        <v>0.25038708573307727</v>
      </c>
    </row>
    <row r="175" spans="1:28" x14ac:dyDescent="0.25">
      <c r="A175">
        <v>6</v>
      </c>
      <c r="B175">
        <v>33</v>
      </c>
      <c r="C175">
        <v>10</v>
      </c>
      <c r="D175">
        <v>9301</v>
      </c>
      <c r="E175">
        <v>33</v>
      </c>
      <c r="F175">
        <v>10</v>
      </c>
      <c r="G175">
        <v>7.0068066706880927</v>
      </c>
      <c r="H175" t="s">
        <v>150</v>
      </c>
      <c r="I175" t="s">
        <v>35</v>
      </c>
      <c r="J175">
        <v>1</v>
      </c>
      <c r="K175">
        <v>60</v>
      </c>
      <c r="L175" t="s">
        <v>72</v>
      </c>
      <c r="M175">
        <v>2612</v>
      </c>
      <c r="N175">
        <v>3.9591615628451109</v>
      </c>
      <c r="O175">
        <v>7.0068066706880927</v>
      </c>
      <c r="P175">
        <v>4.4162542261183262</v>
      </c>
      <c r="Q175">
        <v>12.345256780274211</v>
      </c>
      <c r="R175">
        <v>7</v>
      </c>
      <c r="S175" t="s">
        <v>31</v>
      </c>
      <c r="T175">
        <v>2021</v>
      </c>
      <c r="U175" s="1">
        <v>45901.600802198707</v>
      </c>
      <c r="V175" t="s">
        <v>32</v>
      </c>
      <c r="W175" t="s">
        <v>138</v>
      </c>
      <c r="X175">
        <v>1.427183661543493</v>
      </c>
      <c r="Y175">
        <v>1.427183661543493</v>
      </c>
      <c r="Z175">
        <v>2.9931933293119068</v>
      </c>
      <c r="AA175">
        <v>2.0673813169984681</v>
      </c>
      <c r="AB175">
        <v>0.2414290200466801</v>
      </c>
    </row>
    <row r="176" spans="1:28" x14ac:dyDescent="0.25">
      <c r="A176">
        <v>8</v>
      </c>
      <c r="B176">
        <v>35</v>
      </c>
      <c r="C176">
        <v>36</v>
      </c>
      <c r="D176">
        <v>8260</v>
      </c>
      <c r="E176">
        <v>29</v>
      </c>
      <c r="F176">
        <v>29</v>
      </c>
      <c r="G176">
        <v>27.433209866285321</v>
      </c>
      <c r="H176" t="s">
        <v>151</v>
      </c>
      <c r="I176" t="s">
        <v>29</v>
      </c>
      <c r="J176">
        <v>0</v>
      </c>
      <c r="K176">
        <v>123</v>
      </c>
      <c r="L176" t="s">
        <v>30</v>
      </c>
      <c r="M176">
        <v>2803</v>
      </c>
      <c r="N176">
        <v>5.8491098545491704</v>
      </c>
      <c r="O176">
        <v>32.761399537324913</v>
      </c>
      <c r="P176">
        <v>3.2858162187039852</v>
      </c>
      <c r="Q176">
        <v>31.96339808404446</v>
      </c>
      <c r="R176">
        <v>5</v>
      </c>
      <c r="S176" t="s">
        <v>31</v>
      </c>
      <c r="T176">
        <v>2022</v>
      </c>
      <c r="U176" s="1">
        <v>45901.600802198707</v>
      </c>
      <c r="V176" t="s">
        <v>32</v>
      </c>
      <c r="W176" t="s">
        <v>152</v>
      </c>
      <c r="X176">
        <v>1.0988541548411379</v>
      </c>
      <c r="Y176">
        <v>1.0571128986127221</v>
      </c>
      <c r="Z176">
        <v>3.238600462675095</v>
      </c>
      <c r="AA176">
        <v>3.949339992864787</v>
      </c>
      <c r="AB176">
        <v>1.051917930203083</v>
      </c>
    </row>
    <row r="177" spans="1:28" x14ac:dyDescent="0.25">
      <c r="A177">
        <v>3</v>
      </c>
      <c r="B177">
        <v>38</v>
      </c>
      <c r="C177">
        <v>30</v>
      </c>
      <c r="D177">
        <v>647</v>
      </c>
      <c r="E177">
        <v>57</v>
      </c>
      <c r="F177">
        <v>25</v>
      </c>
      <c r="G177">
        <v>18.497427217662331</v>
      </c>
      <c r="H177" t="s">
        <v>34</v>
      </c>
      <c r="I177" t="s">
        <v>32</v>
      </c>
      <c r="J177">
        <v>0</v>
      </c>
      <c r="K177">
        <v>133</v>
      </c>
      <c r="L177" t="s">
        <v>36</v>
      </c>
      <c r="M177">
        <v>3414</v>
      </c>
      <c r="N177">
        <v>7.547407771460712</v>
      </c>
      <c r="O177">
        <v>23.064440123736858</v>
      </c>
      <c r="P177">
        <v>5.0953521626070142</v>
      </c>
      <c r="Q177">
        <v>25.079117983579639</v>
      </c>
      <c r="R177">
        <v>6</v>
      </c>
      <c r="S177" t="s">
        <v>31</v>
      </c>
      <c r="T177">
        <v>2022</v>
      </c>
      <c r="U177" s="1">
        <v>45901.600802198707</v>
      </c>
      <c r="V177" t="s">
        <v>32</v>
      </c>
      <c r="W177" t="s">
        <v>152</v>
      </c>
      <c r="X177">
        <v>1.3007035869526871</v>
      </c>
      <c r="Y177">
        <v>1.3515393089979919</v>
      </c>
      <c r="Z177">
        <v>6.9355598762631416</v>
      </c>
      <c r="AA177">
        <v>3.5061511423550091</v>
      </c>
      <c r="AB177">
        <v>0.60802566231292243</v>
      </c>
    </row>
    <row r="178" spans="1:28" x14ac:dyDescent="0.25">
      <c r="A178">
        <v>4</v>
      </c>
      <c r="B178">
        <v>33</v>
      </c>
      <c r="C178">
        <v>20</v>
      </c>
      <c r="D178">
        <v>998</v>
      </c>
      <c r="E178">
        <v>26</v>
      </c>
      <c r="F178">
        <v>14</v>
      </c>
      <c r="G178">
        <v>16.363018790259961</v>
      </c>
      <c r="H178" t="s">
        <v>141</v>
      </c>
      <c r="I178" t="s">
        <v>32</v>
      </c>
      <c r="J178">
        <v>0</v>
      </c>
      <c r="K178">
        <v>94</v>
      </c>
      <c r="L178" t="s">
        <v>142</v>
      </c>
      <c r="M178">
        <v>2960</v>
      </c>
      <c r="N178">
        <v>4.9098928403109312</v>
      </c>
      <c r="O178">
        <v>21.691197574138641</v>
      </c>
      <c r="P178">
        <v>4.0245856698602438</v>
      </c>
      <c r="Q178">
        <v>18.110046867281199</v>
      </c>
      <c r="R178">
        <v>9</v>
      </c>
      <c r="S178" t="s">
        <v>31</v>
      </c>
      <c r="T178">
        <v>2022</v>
      </c>
      <c r="U178" s="1">
        <v>45901.600802198707</v>
      </c>
      <c r="V178" t="s">
        <v>32</v>
      </c>
      <c r="W178" t="s">
        <v>152</v>
      </c>
      <c r="X178">
        <v>0.92203300125047161</v>
      </c>
      <c r="Y178">
        <v>0.85558784595012882</v>
      </c>
      <c r="Z178">
        <v>-1.6911975741386409</v>
      </c>
      <c r="AA178">
        <v>2.8581081081081079</v>
      </c>
      <c r="AB178">
        <v>0.65952965597043167</v>
      </c>
    </row>
    <row r="179" spans="1:28" x14ac:dyDescent="0.25">
      <c r="A179">
        <v>12</v>
      </c>
      <c r="B179">
        <v>38</v>
      </c>
      <c r="C179">
        <v>19</v>
      </c>
      <c r="D179">
        <v>1250</v>
      </c>
      <c r="E179">
        <v>65</v>
      </c>
      <c r="F179">
        <v>17</v>
      </c>
      <c r="G179">
        <v>20.295387655496601</v>
      </c>
      <c r="H179" t="s">
        <v>96</v>
      </c>
      <c r="I179" t="s">
        <v>35</v>
      </c>
      <c r="J179">
        <v>0</v>
      </c>
      <c r="K179">
        <v>125</v>
      </c>
      <c r="L179" t="s">
        <v>82</v>
      </c>
      <c r="M179">
        <v>3307</v>
      </c>
      <c r="N179">
        <v>8.720245610922575</v>
      </c>
      <c r="O179">
        <v>23.340063713490959</v>
      </c>
      <c r="P179">
        <v>8.8667826745659113</v>
      </c>
      <c r="Q179">
        <v>32.544137932360172</v>
      </c>
      <c r="R179">
        <v>2</v>
      </c>
      <c r="S179" t="s">
        <v>31</v>
      </c>
      <c r="T179">
        <v>2022</v>
      </c>
      <c r="U179" s="1">
        <v>45901.600802198707</v>
      </c>
      <c r="V179" t="s">
        <v>32</v>
      </c>
      <c r="W179" t="s">
        <v>152</v>
      </c>
      <c r="X179">
        <v>0.81405090548307579</v>
      </c>
      <c r="Y179">
        <v>0.8376287405082351</v>
      </c>
      <c r="Z179">
        <v>-4.340063713490963</v>
      </c>
      <c r="AA179">
        <v>3.4018748110069552</v>
      </c>
      <c r="AB179">
        <v>0.63519979867377885</v>
      </c>
    </row>
    <row r="180" spans="1:28" x14ac:dyDescent="0.25">
      <c r="A180">
        <v>5</v>
      </c>
      <c r="B180">
        <v>31</v>
      </c>
      <c r="C180">
        <v>18</v>
      </c>
      <c r="D180">
        <v>468</v>
      </c>
      <c r="E180">
        <v>24</v>
      </c>
      <c r="F180">
        <v>15</v>
      </c>
      <c r="G180">
        <v>16.573260266333818</v>
      </c>
      <c r="H180" t="s">
        <v>108</v>
      </c>
      <c r="I180" t="s">
        <v>29</v>
      </c>
      <c r="J180">
        <v>0</v>
      </c>
      <c r="K180">
        <v>73</v>
      </c>
      <c r="L180" t="s">
        <v>58</v>
      </c>
      <c r="M180">
        <v>1911</v>
      </c>
      <c r="N180">
        <v>3.5679634343832731</v>
      </c>
      <c r="O180">
        <v>18.856768030673269</v>
      </c>
      <c r="P180">
        <v>1.810890594497323</v>
      </c>
      <c r="Q180">
        <v>15.5175623819232</v>
      </c>
      <c r="R180">
        <v>4</v>
      </c>
      <c r="S180" t="s">
        <v>31</v>
      </c>
      <c r="T180">
        <v>2022</v>
      </c>
      <c r="U180" s="1">
        <v>45901.600802198707</v>
      </c>
      <c r="V180" t="s">
        <v>32</v>
      </c>
      <c r="W180" t="s">
        <v>152</v>
      </c>
      <c r="X180">
        <v>0.95456442857654034</v>
      </c>
      <c r="Y180">
        <v>0.9050723731449708</v>
      </c>
      <c r="Z180">
        <v>-0.85676803067326546</v>
      </c>
      <c r="AA180">
        <v>3.4379905808477229</v>
      </c>
      <c r="AB180">
        <v>0.88807384759842689</v>
      </c>
    </row>
    <row r="181" spans="1:28" x14ac:dyDescent="0.25">
      <c r="A181">
        <v>5</v>
      </c>
      <c r="B181">
        <v>35</v>
      </c>
      <c r="C181">
        <v>17</v>
      </c>
      <c r="D181">
        <v>556</v>
      </c>
      <c r="E181">
        <v>31</v>
      </c>
      <c r="F181">
        <v>17</v>
      </c>
      <c r="G181">
        <v>18.761760517954819</v>
      </c>
      <c r="H181" t="s">
        <v>119</v>
      </c>
      <c r="I181" t="s">
        <v>35</v>
      </c>
      <c r="J181">
        <v>0</v>
      </c>
      <c r="K181">
        <v>108</v>
      </c>
      <c r="L181" t="s">
        <v>50</v>
      </c>
      <c r="M181">
        <v>2907</v>
      </c>
      <c r="N181">
        <v>3.735412929207087</v>
      </c>
      <c r="O181">
        <v>18.761760517954819</v>
      </c>
      <c r="P181">
        <v>9.589746218174696</v>
      </c>
      <c r="Q181">
        <v>30.331113813444968</v>
      </c>
      <c r="R181">
        <v>2</v>
      </c>
      <c r="S181" t="s">
        <v>31</v>
      </c>
      <c r="T181">
        <v>2022</v>
      </c>
      <c r="U181" s="1">
        <v>45901.600802198707</v>
      </c>
      <c r="V181" t="s">
        <v>32</v>
      </c>
      <c r="W181" t="s">
        <v>152</v>
      </c>
      <c r="X181">
        <v>0.90609833675955753</v>
      </c>
      <c r="Y181">
        <v>0.90609833675955753</v>
      </c>
      <c r="Z181">
        <v>-1.761760517954823</v>
      </c>
      <c r="AA181">
        <v>3.3436532507739938</v>
      </c>
      <c r="AB181">
        <v>0.58085945876021117</v>
      </c>
    </row>
    <row r="182" spans="1:28" x14ac:dyDescent="0.25">
      <c r="A182">
        <v>5</v>
      </c>
      <c r="B182">
        <v>36</v>
      </c>
      <c r="C182">
        <v>15</v>
      </c>
      <c r="D182">
        <v>7752</v>
      </c>
      <c r="E182">
        <v>59</v>
      </c>
      <c r="F182">
        <v>15</v>
      </c>
      <c r="G182">
        <v>10.53813438490033</v>
      </c>
      <c r="H182" t="s">
        <v>153</v>
      </c>
      <c r="I182" t="s">
        <v>35</v>
      </c>
      <c r="J182">
        <v>0</v>
      </c>
      <c r="K182">
        <v>79</v>
      </c>
      <c r="L182" t="s">
        <v>42</v>
      </c>
      <c r="M182">
        <v>2851</v>
      </c>
      <c r="N182">
        <v>9.3494854904711246</v>
      </c>
      <c r="O182">
        <v>10.53813438490033</v>
      </c>
      <c r="P182">
        <v>9.3209172524511796</v>
      </c>
      <c r="Q182">
        <v>25.150874551385641</v>
      </c>
      <c r="R182">
        <v>3</v>
      </c>
      <c r="S182" t="s">
        <v>31</v>
      </c>
      <c r="T182">
        <v>2022</v>
      </c>
      <c r="U182" s="1">
        <v>45901.600802198707</v>
      </c>
      <c r="V182" t="s">
        <v>32</v>
      </c>
      <c r="W182" t="s">
        <v>152</v>
      </c>
      <c r="X182">
        <v>1.423401851991269</v>
      </c>
      <c r="Y182">
        <v>1.423401851991269</v>
      </c>
      <c r="Z182">
        <v>4.4618656150996694</v>
      </c>
      <c r="AA182">
        <v>2.4938618028761841</v>
      </c>
      <c r="AB182">
        <v>0.33266646602631711</v>
      </c>
    </row>
    <row r="183" spans="1:28" x14ac:dyDescent="0.25">
      <c r="A183">
        <v>6</v>
      </c>
      <c r="B183">
        <v>37</v>
      </c>
      <c r="C183">
        <v>15</v>
      </c>
      <c r="D183">
        <v>8865</v>
      </c>
      <c r="E183">
        <v>30</v>
      </c>
      <c r="F183">
        <v>14</v>
      </c>
      <c r="G183">
        <v>15.963956996798521</v>
      </c>
      <c r="H183" t="s">
        <v>133</v>
      </c>
      <c r="I183" t="s">
        <v>35</v>
      </c>
      <c r="J183">
        <v>0</v>
      </c>
      <c r="K183">
        <v>85</v>
      </c>
      <c r="L183" t="s">
        <v>47</v>
      </c>
      <c r="M183">
        <v>3150</v>
      </c>
      <c r="N183">
        <v>3.6740340031683449</v>
      </c>
      <c r="O183">
        <v>17.486295863986019</v>
      </c>
      <c r="P183">
        <v>5.4353157235309482</v>
      </c>
      <c r="Q183">
        <v>22.16256415843964</v>
      </c>
      <c r="R183">
        <v>4</v>
      </c>
      <c r="S183" t="s">
        <v>31</v>
      </c>
      <c r="T183">
        <v>2022</v>
      </c>
      <c r="U183" s="1">
        <v>45901.600802198707</v>
      </c>
      <c r="V183" t="s">
        <v>32</v>
      </c>
      <c r="W183" t="s">
        <v>152</v>
      </c>
      <c r="X183">
        <v>0.85781460617358773</v>
      </c>
      <c r="Y183">
        <v>0.87697555203936117</v>
      </c>
      <c r="Z183">
        <v>-2.4862958639860149</v>
      </c>
      <c r="AA183">
        <v>2.4285714285714288</v>
      </c>
      <c r="AB183">
        <v>0.4996084532567433</v>
      </c>
    </row>
    <row r="184" spans="1:28" x14ac:dyDescent="0.25">
      <c r="A184">
        <v>1</v>
      </c>
      <c r="B184">
        <v>24</v>
      </c>
      <c r="C184">
        <v>14</v>
      </c>
      <c r="D184">
        <v>773</v>
      </c>
      <c r="E184">
        <v>15</v>
      </c>
      <c r="F184">
        <v>10</v>
      </c>
      <c r="G184">
        <v>10.08966413047165</v>
      </c>
      <c r="H184" t="s">
        <v>114</v>
      </c>
      <c r="I184" t="s">
        <v>29</v>
      </c>
      <c r="J184">
        <v>0</v>
      </c>
      <c r="K184">
        <v>93</v>
      </c>
      <c r="L184" t="s">
        <v>115</v>
      </c>
      <c r="M184">
        <v>2022</v>
      </c>
      <c r="N184">
        <v>2.3344982340931888</v>
      </c>
      <c r="O184">
        <v>16.179016840644181</v>
      </c>
      <c r="P184">
        <v>2.5752602564170961</v>
      </c>
      <c r="Q184">
        <v>11.80280566774309</v>
      </c>
      <c r="R184">
        <v>7</v>
      </c>
      <c r="S184" t="s">
        <v>31</v>
      </c>
      <c r="T184">
        <v>2022</v>
      </c>
      <c r="U184" s="1">
        <v>45901.600802198707</v>
      </c>
      <c r="V184" t="s">
        <v>32</v>
      </c>
      <c r="W184" t="s">
        <v>152</v>
      </c>
      <c r="X184">
        <v>0.86531834028566212</v>
      </c>
      <c r="Y184">
        <v>0.99111326905314368</v>
      </c>
      <c r="Z184">
        <v>-2.1790168406441812</v>
      </c>
      <c r="AA184">
        <v>4.1394658753709201</v>
      </c>
      <c r="AB184">
        <v>0.72013428074083885</v>
      </c>
    </row>
    <row r="185" spans="1:28" x14ac:dyDescent="0.25">
      <c r="A185">
        <v>11</v>
      </c>
      <c r="B185">
        <v>38</v>
      </c>
      <c r="C185">
        <v>14</v>
      </c>
      <c r="D185">
        <v>7322</v>
      </c>
      <c r="E185">
        <v>75</v>
      </c>
      <c r="F185">
        <v>12</v>
      </c>
      <c r="G185">
        <v>9.0165416374802607</v>
      </c>
      <c r="H185" t="s">
        <v>145</v>
      </c>
      <c r="I185" t="s">
        <v>35</v>
      </c>
      <c r="J185">
        <v>0</v>
      </c>
      <c r="K185">
        <v>89</v>
      </c>
      <c r="L185" t="s">
        <v>42</v>
      </c>
      <c r="M185">
        <v>3216</v>
      </c>
      <c r="N185">
        <v>7.0429807445034394</v>
      </c>
      <c r="O185">
        <v>11.30004965513945</v>
      </c>
      <c r="P185">
        <v>11.6032799705863</v>
      </c>
      <c r="Q185">
        <v>23.58317681774497</v>
      </c>
      <c r="R185">
        <v>6</v>
      </c>
      <c r="S185" t="s">
        <v>31</v>
      </c>
      <c r="T185">
        <v>2022</v>
      </c>
      <c r="U185" s="1">
        <v>45901.600802198707</v>
      </c>
      <c r="V185" t="s">
        <v>32</v>
      </c>
      <c r="W185" t="s">
        <v>152</v>
      </c>
      <c r="X185">
        <v>1.2389326089051811</v>
      </c>
      <c r="Y185">
        <v>1.3308872162379859</v>
      </c>
      <c r="Z185">
        <v>2.6999503448605542</v>
      </c>
      <c r="AA185">
        <v>2.4906716417910451</v>
      </c>
      <c r="AB185">
        <v>0.31623273288636511</v>
      </c>
    </row>
    <row r="186" spans="1:28" x14ac:dyDescent="0.25">
      <c r="A186">
        <v>1</v>
      </c>
      <c r="B186">
        <v>31</v>
      </c>
      <c r="C186">
        <v>13</v>
      </c>
      <c r="D186">
        <v>2381</v>
      </c>
      <c r="E186">
        <v>16</v>
      </c>
      <c r="F186">
        <v>12</v>
      </c>
      <c r="G186">
        <v>7.8118149191141129</v>
      </c>
      <c r="H186" t="s">
        <v>154</v>
      </c>
      <c r="I186" t="s">
        <v>35</v>
      </c>
      <c r="J186">
        <v>0</v>
      </c>
      <c r="K186">
        <v>67</v>
      </c>
      <c r="L186" t="s">
        <v>132</v>
      </c>
      <c r="M186">
        <v>1955</v>
      </c>
      <c r="N186">
        <v>2.2987059624865651</v>
      </c>
      <c r="O186">
        <v>8.5729839205741882</v>
      </c>
      <c r="P186">
        <v>3.4505255194380879</v>
      </c>
      <c r="Q186">
        <v>10.81273386068642</v>
      </c>
      <c r="R186">
        <v>6</v>
      </c>
      <c r="S186" t="s">
        <v>31</v>
      </c>
      <c r="T186">
        <v>2022</v>
      </c>
      <c r="U186" s="1">
        <v>45901.600802198707</v>
      </c>
      <c r="V186" t="s">
        <v>32</v>
      </c>
      <c r="W186" t="s">
        <v>152</v>
      </c>
      <c r="X186">
        <v>1.51639150620608</v>
      </c>
      <c r="Y186">
        <v>1.536134704195071</v>
      </c>
      <c r="Z186">
        <v>4.4270160794258118</v>
      </c>
      <c r="AA186">
        <v>3.0843989769820972</v>
      </c>
      <c r="AB186">
        <v>0.3946642214075074</v>
      </c>
    </row>
    <row r="187" spans="1:28" x14ac:dyDescent="0.25">
      <c r="A187">
        <v>1</v>
      </c>
      <c r="B187">
        <v>34</v>
      </c>
      <c r="C187">
        <v>13</v>
      </c>
      <c r="D187">
        <v>6681</v>
      </c>
      <c r="E187">
        <v>19</v>
      </c>
      <c r="F187">
        <v>13</v>
      </c>
      <c r="G187">
        <v>9.1204780116677284</v>
      </c>
      <c r="H187" t="s">
        <v>155</v>
      </c>
      <c r="I187" t="s">
        <v>35</v>
      </c>
      <c r="J187">
        <v>0</v>
      </c>
      <c r="K187">
        <v>72</v>
      </c>
      <c r="L187" t="s">
        <v>56</v>
      </c>
      <c r="M187">
        <v>2738</v>
      </c>
      <c r="N187">
        <v>3.1073046363890171</v>
      </c>
      <c r="O187">
        <v>9.1204780116677284</v>
      </c>
      <c r="P187">
        <v>3.649019580334425</v>
      </c>
      <c r="Q187">
        <v>14.723602913320059</v>
      </c>
      <c r="R187">
        <v>3</v>
      </c>
      <c r="S187" t="s">
        <v>31</v>
      </c>
      <c r="T187">
        <v>2022</v>
      </c>
      <c r="U187" s="1">
        <v>45901.600802198707</v>
      </c>
      <c r="V187" t="s">
        <v>32</v>
      </c>
      <c r="W187" t="s">
        <v>152</v>
      </c>
      <c r="X187">
        <v>1.4253638880954751</v>
      </c>
      <c r="Y187">
        <v>1.4253638880954751</v>
      </c>
      <c r="Z187">
        <v>3.879521988332272</v>
      </c>
      <c r="AA187">
        <v>2.3666910153396641</v>
      </c>
      <c r="AB187">
        <v>0.29979657452523578</v>
      </c>
    </row>
    <row r="188" spans="1:28" x14ac:dyDescent="0.25">
      <c r="A188">
        <v>4</v>
      </c>
      <c r="B188">
        <v>25</v>
      </c>
      <c r="C188">
        <v>11</v>
      </c>
      <c r="D188">
        <v>482</v>
      </c>
      <c r="E188">
        <v>21</v>
      </c>
      <c r="F188">
        <v>11</v>
      </c>
      <c r="G188">
        <v>8.1229563355445862</v>
      </c>
      <c r="H188" t="s">
        <v>81</v>
      </c>
      <c r="I188" t="s">
        <v>35</v>
      </c>
      <c r="J188">
        <v>0</v>
      </c>
      <c r="K188">
        <v>39</v>
      </c>
      <c r="L188" t="s">
        <v>82</v>
      </c>
      <c r="M188">
        <v>1203</v>
      </c>
      <c r="N188">
        <v>3.0548400916159162</v>
      </c>
      <c r="O188">
        <v>8.1229563355445862</v>
      </c>
      <c r="P188">
        <v>6.6901707127690324</v>
      </c>
      <c r="Q188">
        <v>13.91264321282506</v>
      </c>
      <c r="R188">
        <v>0</v>
      </c>
      <c r="S188" t="s">
        <v>31</v>
      </c>
      <c r="T188">
        <v>2022</v>
      </c>
      <c r="U188" s="1">
        <v>45901.600802198707</v>
      </c>
      <c r="V188" t="s">
        <v>32</v>
      </c>
      <c r="W188" t="s">
        <v>152</v>
      </c>
      <c r="X188">
        <v>1.354186769645183</v>
      </c>
      <c r="Y188">
        <v>1.354186769645183</v>
      </c>
      <c r="Z188">
        <v>2.8770436644554138</v>
      </c>
      <c r="AA188">
        <v>2.917705735660848</v>
      </c>
      <c r="AB188">
        <v>0.60770246899336056</v>
      </c>
    </row>
    <row r="189" spans="1:28" x14ac:dyDescent="0.25">
      <c r="A189">
        <v>6</v>
      </c>
      <c r="B189">
        <v>26</v>
      </c>
      <c r="C189">
        <v>11</v>
      </c>
      <c r="D189">
        <v>5543</v>
      </c>
      <c r="E189">
        <v>31</v>
      </c>
      <c r="F189">
        <v>10</v>
      </c>
      <c r="G189">
        <v>15.40997437387705</v>
      </c>
      <c r="H189" t="s">
        <v>100</v>
      </c>
      <c r="I189" t="s">
        <v>29</v>
      </c>
      <c r="J189">
        <v>0</v>
      </c>
      <c r="K189">
        <v>77</v>
      </c>
      <c r="L189" t="s">
        <v>42</v>
      </c>
      <c r="M189">
        <v>2107</v>
      </c>
      <c r="N189">
        <v>4.2437334917485714</v>
      </c>
      <c r="O189">
        <v>16.17113438993692</v>
      </c>
      <c r="P189">
        <v>6.9456215463578701</v>
      </c>
      <c r="Q189">
        <v>22.47638842463493</v>
      </c>
      <c r="R189">
        <v>6</v>
      </c>
      <c r="S189" t="s">
        <v>31</v>
      </c>
      <c r="T189">
        <v>2022</v>
      </c>
      <c r="U189" s="1">
        <v>45901.600802198707</v>
      </c>
      <c r="V189" t="s">
        <v>32</v>
      </c>
      <c r="W189" t="s">
        <v>152</v>
      </c>
      <c r="X189">
        <v>0.68022438839201971</v>
      </c>
      <c r="Y189">
        <v>0.64893034585131926</v>
      </c>
      <c r="Z189">
        <v>-5.171134389936924</v>
      </c>
      <c r="AA189">
        <v>3.2890365448504988</v>
      </c>
      <c r="AB189">
        <v>0.69074612961287296</v>
      </c>
    </row>
    <row r="190" spans="1:28" x14ac:dyDescent="0.25">
      <c r="A190">
        <v>6</v>
      </c>
      <c r="B190">
        <v>32</v>
      </c>
      <c r="C190">
        <v>11</v>
      </c>
      <c r="D190">
        <v>6055</v>
      </c>
      <c r="E190">
        <v>44</v>
      </c>
      <c r="F190">
        <v>11</v>
      </c>
      <c r="G190">
        <v>6.1858520098030567</v>
      </c>
      <c r="H190" t="s">
        <v>156</v>
      </c>
      <c r="I190" t="s">
        <v>35</v>
      </c>
      <c r="J190">
        <v>0</v>
      </c>
      <c r="K190">
        <v>46</v>
      </c>
      <c r="L190" t="s">
        <v>30</v>
      </c>
      <c r="M190">
        <v>1837</v>
      </c>
      <c r="N190">
        <v>5.6974794622510672</v>
      </c>
      <c r="O190">
        <v>6.1858520098030567</v>
      </c>
      <c r="P190">
        <v>8.1015086937695742</v>
      </c>
      <c r="Q190">
        <v>17.426374886184931</v>
      </c>
      <c r="R190">
        <v>1</v>
      </c>
      <c r="S190" t="s">
        <v>31</v>
      </c>
      <c r="T190">
        <v>2022</v>
      </c>
      <c r="U190" s="1">
        <v>45901.600802198707</v>
      </c>
      <c r="V190" t="s">
        <v>32</v>
      </c>
      <c r="W190" t="s">
        <v>152</v>
      </c>
      <c r="X190">
        <v>1.7782514005455841</v>
      </c>
      <c r="Y190">
        <v>1.7782514005455841</v>
      </c>
      <c r="Z190">
        <v>4.8141479901969433</v>
      </c>
      <c r="AA190">
        <v>2.253674469243331</v>
      </c>
      <c r="AB190">
        <v>0.30306297271762389</v>
      </c>
    </row>
    <row r="191" spans="1:28" x14ac:dyDescent="0.25">
      <c r="A191">
        <v>2</v>
      </c>
      <c r="B191">
        <v>34</v>
      </c>
      <c r="C191">
        <v>11</v>
      </c>
      <c r="D191">
        <v>7420</v>
      </c>
      <c r="E191">
        <v>26</v>
      </c>
      <c r="F191">
        <v>11</v>
      </c>
      <c r="G191">
        <v>8.7270594649016857</v>
      </c>
      <c r="H191" t="s">
        <v>157</v>
      </c>
      <c r="I191" t="s">
        <v>29</v>
      </c>
      <c r="J191">
        <v>0</v>
      </c>
      <c r="K191">
        <v>69</v>
      </c>
      <c r="L191" t="s">
        <v>58</v>
      </c>
      <c r="M191">
        <v>2550</v>
      </c>
      <c r="N191">
        <v>2.9551383573561911</v>
      </c>
      <c r="O191">
        <v>8.7270594649016857</v>
      </c>
      <c r="P191">
        <v>5.5573184154927731</v>
      </c>
      <c r="Q191">
        <v>14.47847865894437</v>
      </c>
      <c r="R191">
        <v>2</v>
      </c>
      <c r="S191" t="s">
        <v>31</v>
      </c>
      <c r="T191">
        <v>2022</v>
      </c>
      <c r="U191" s="1">
        <v>45901.600802198707</v>
      </c>
      <c r="V191" t="s">
        <v>32</v>
      </c>
      <c r="W191" t="s">
        <v>152</v>
      </c>
      <c r="X191">
        <v>1.260447467355938</v>
      </c>
      <c r="Y191">
        <v>1.260447467355938</v>
      </c>
      <c r="Z191">
        <v>2.2729405350983138</v>
      </c>
      <c r="AA191">
        <v>2.4352941176470591</v>
      </c>
      <c r="AB191">
        <v>0.30801386346711829</v>
      </c>
    </row>
    <row r="192" spans="1:28" x14ac:dyDescent="0.25">
      <c r="A192">
        <v>6</v>
      </c>
      <c r="B192">
        <v>36</v>
      </c>
      <c r="C192">
        <v>10</v>
      </c>
      <c r="D192">
        <v>453</v>
      </c>
      <c r="E192">
        <v>62</v>
      </c>
      <c r="F192">
        <v>10</v>
      </c>
      <c r="G192">
        <v>9.5978954248130322</v>
      </c>
      <c r="H192" t="s">
        <v>92</v>
      </c>
      <c r="I192" t="s">
        <v>35</v>
      </c>
      <c r="J192">
        <v>0</v>
      </c>
      <c r="K192">
        <v>81</v>
      </c>
      <c r="L192" t="s">
        <v>36</v>
      </c>
      <c r="M192">
        <v>2920</v>
      </c>
      <c r="N192">
        <v>6.3343414831906557</v>
      </c>
      <c r="O192">
        <v>9.5978954248130322</v>
      </c>
      <c r="P192">
        <v>5.9549118597060442</v>
      </c>
      <c r="Q192">
        <v>17.621333405375481</v>
      </c>
      <c r="R192">
        <v>2</v>
      </c>
      <c r="S192" t="s">
        <v>31</v>
      </c>
      <c r="T192">
        <v>2022</v>
      </c>
      <c r="U192" s="1">
        <v>45901.600802198707</v>
      </c>
      <c r="V192" t="s">
        <v>32</v>
      </c>
      <c r="W192" t="s">
        <v>152</v>
      </c>
      <c r="X192">
        <v>1.041895077763342</v>
      </c>
      <c r="Y192">
        <v>1.041895077763342</v>
      </c>
      <c r="Z192">
        <v>0.40210457518696779</v>
      </c>
      <c r="AA192">
        <v>2.496575342465754</v>
      </c>
      <c r="AB192">
        <v>0.29582554391547022</v>
      </c>
    </row>
    <row r="193" spans="1:28" x14ac:dyDescent="0.25">
      <c r="A193">
        <v>1</v>
      </c>
      <c r="B193">
        <v>22</v>
      </c>
      <c r="C193">
        <v>10</v>
      </c>
      <c r="D193">
        <v>5232</v>
      </c>
      <c r="E193">
        <v>15</v>
      </c>
      <c r="F193">
        <v>8</v>
      </c>
      <c r="G193">
        <v>7.262516763061285</v>
      </c>
      <c r="H193" t="s">
        <v>158</v>
      </c>
      <c r="I193" t="s">
        <v>29</v>
      </c>
      <c r="J193">
        <v>0</v>
      </c>
      <c r="K193">
        <v>51</v>
      </c>
      <c r="L193" t="s">
        <v>58</v>
      </c>
      <c r="M193">
        <v>1530</v>
      </c>
      <c r="N193">
        <v>1.770732332952321</v>
      </c>
      <c r="O193">
        <v>8.784851711243391</v>
      </c>
      <c r="P193">
        <v>2.8647358743473892</v>
      </c>
      <c r="Q193">
        <v>11.159056376665831</v>
      </c>
      <c r="R193">
        <v>3</v>
      </c>
      <c r="S193" t="s">
        <v>31</v>
      </c>
      <c r="T193">
        <v>2022</v>
      </c>
      <c r="U193" s="1">
        <v>45901.600802198707</v>
      </c>
      <c r="V193" t="s">
        <v>32</v>
      </c>
      <c r="W193" t="s">
        <v>152</v>
      </c>
      <c r="X193">
        <v>1.1383231417784081</v>
      </c>
      <c r="Y193">
        <v>1.101546510803213</v>
      </c>
      <c r="Z193">
        <v>1.215148288756609</v>
      </c>
      <c r="AA193">
        <v>3</v>
      </c>
      <c r="AB193">
        <v>0.51675598301431713</v>
      </c>
    </row>
    <row r="194" spans="1:28" x14ac:dyDescent="0.25">
      <c r="A194">
        <v>9</v>
      </c>
      <c r="B194">
        <v>30</v>
      </c>
      <c r="C194">
        <v>10</v>
      </c>
      <c r="D194">
        <v>6818</v>
      </c>
      <c r="E194">
        <v>69</v>
      </c>
      <c r="F194">
        <v>9</v>
      </c>
      <c r="G194">
        <v>6.9670494310557842</v>
      </c>
      <c r="H194" t="s">
        <v>144</v>
      </c>
      <c r="I194" t="s">
        <v>35</v>
      </c>
      <c r="J194">
        <v>0</v>
      </c>
      <c r="K194">
        <v>85</v>
      </c>
      <c r="L194" t="s">
        <v>56</v>
      </c>
      <c r="M194">
        <v>2485</v>
      </c>
      <c r="N194">
        <v>7.7731989063322544</v>
      </c>
      <c r="O194">
        <v>8.4893871806561947</v>
      </c>
      <c r="P194">
        <v>6.399377454072237</v>
      </c>
      <c r="Q194">
        <v>15.35466801375151</v>
      </c>
      <c r="R194">
        <v>10</v>
      </c>
      <c r="S194" t="s">
        <v>31</v>
      </c>
      <c r="T194">
        <v>2022</v>
      </c>
      <c r="U194" s="1">
        <v>45901.600802198707</v>
      </c>
      <c r="V194" t="s">
        <v>32</v>
      </c>
      <c r="W194" t="s">
        <v>152</v>
      </c>
      <c r="X194">
        <v>1.17794132688233</v>
      </c>
      <c r="Y194">
        <v>1.2917950545724981</v>
      </c>
      <c r="Z194">
        <v>1.5106128193438051</v>
      </c>
      <c r="AA194">
        <v>3.0784708249496981</v>
      </c>
      <c r="AB194">
        <v>0.3074627147923773</v>
      </c>
    </row>
    <row r="195" spans="1:28" x14ac:dyDescent="0.25">
      <c r="A195">
        <v>1</v>
      </c>
      <c r="B195">
        <v>27</v>
      </c>
      <c r="C195">
        <v>10</v>
      </c>
      <c r="D195">
        <v>7814</v>
      </c>
      <c r="E195">
        <v>10</v>
      </c>
      <c r="F195">
        <v>10</v>
      </c>
      <c r="G195">
        <v>8.0510318800806999</v>
      </c>
      <c r="H195" t="s">
        <v>159</v>
      </c>
      <c r="I195" t="s">
        <v>29</v>
      </c>
      <c r="J195">
        <v>0</v>
      </c>
      <c r="K195">
        <v>35</v>
      </c>
      <c r="L195" t="s">
        <v>160</v>
      </c>
      <c r="M195">
        <v>1426</v>
      </c>
      <c r="N195">
        <v>1.0280227512121201</v>
      </c>
      <c r="O195">
        <v>8.0510318800806999</v>
      </c>
      <c r="P195">
        <v>0.7168999258428812</v>
      </c>
      <c r="Q195">
        <v>7.681166335940361</v>
      </c>
      <c r="R195">
        <v>2</v>
      </c>
      <c r="S195" t="s">
        <v>31</v>
      </c>
      <c r="T195">
        <v>2022</v>
      </c>
      <c r="U195" s="1">
        <v>45901.600802198707</v>
      </c>
      <c r="V195" t="s">
        <v>32</v>
      </c>
      <c r="W195" t="s">
        <v>152</v>
      </c>
      <c r="X195">
        <v>1.242076810643528</v>
      </c>
      <c r="Y195">
        <v>1.242076810643528</v>
      </c>
      <c r="Z195">
        <v>1.9489681199193001</v>
      </c>
      <c r="AA195">
        <v>2.2089761570827489</v>
      </c>
      <c r="AB195">
        <v>0.50812964180032472</v>
      </c>
    </row>
    <row r="196" spans="1:28" x14ac:dyDescent="0.25">
      <c r="A196">
        <v>4</v>
      </c>
      <c r="B196">
        <v>38</v>
      </c>
      <c r="C196">
        <v>10</v>
      </c>
      <c r="D196">
        <v>8706</v>
      </c>
      <c r="E196">
        <v>57</v>
      </c>
      <c r="F196">
        <v>9</v>
      </c>
      <c r="G196">
        <v>6.0705951992422342</v>
      </c>
      <c r="H196" t="s">
        <v>161</v>
      </c>
      <c r="I196" t="s">
        <v>35</v>
      </c>
      <c r="J196">
        <v>0</v>
      </c>
      <c r="K196">
        <v>70</v>
      </c>
      <c r="L196" t="s">
        <v>90</v>
      </c>
      <c r="M196">
        <v>2657</v>
      </c>
      <c r="N196">
        <v>4.6194407790899277</v>
      </c>
      <c r="O196">
        <v>6.8317640405148268</v>
      </c>
      <c r="P196">
        <v>4.3697460070252419</v>
      </c>
      <c r="Q196">
        <v>11.095705505460501</v>
      </c>
      <c r="R196">
        <v>3</v>
      </c>
      <c r="S196" t="s">
        <v>31</v>
      </c>
      <c r="T196">
        <v>2022</v>
      </c>
      <c r="U196" s="1">
        <v>45901.600802198707</v>
      </c>
      <c r="V196" t="s">
        <v>32</v>
      </c>
      <c r="W196" t="s">
        <v>152</v>
      </c>
      <c r="X196">
        <v>1.463750788331738</v>
      </c>
      <c r="Y196">
        <v>1.4825564388024799</v>
      </c>
      <c r="Z196">
        <v>3.1682359594851728</v>
      </c>
      <c r="AA196">
        <v>2.3710952201731281</v>
      </c>
      <c r="AB196">
        <v>0.23141090088307659</v>
      </c>
    </row>
    <row r="197" spans="1:28" x14ac:dyDescent="0.25">
      <c r="A197">
        <v>5</v>
      </c>
      <c r="B197">
        <v>31</v>
      </c>
      <c r="C197">
        <v>27</v>
      </c>
      <c r="D197">
        <v>8260</v>
      </c>
      <c r="E197">
        <v>29</v>
      </c>
      <c r="F197">
        <v>20</v>
      </c>
      <c r="G197">
        <v>25.564646281301972</v>
      </c>
      <c r="H197" t="s">
        <v>151</v>
      </c>
      <c r="I197" t="s">
        <v>29</v>
      </c>
      <c r="J197">
        <v>0</v>
      </c>
      <c r="K197">
        <v>122</v>
      </c>
      <c r="L197" t="s">
        <v>30</v>
      </c>
      <c r="M197">
        <v>2581</v>
      </c>
      <c r="N197">
        <v>4.7517555598169574</v>
      </c>
      <c r="O197">
        <v>31.653996683657169</v>
      </c>
      <c r="P197">
        <v>3.1286454349756241</v>
      </c>
      <c r="Q197">
        <v>30.197253502905369</v>
      </c>
      <c r="R197">
        <v>1</v>
      </c>
      <c r="S197" t="s">
        <v>31</v>
      </c>
      <c r="T197">
        <v>2023</v>
      </c>
      <c r="U197" s="1">
        <v>45901.600802198707</v>
      </c>
      <c r="V197" t="s">
        <v>32</v>
      </c>
      <c r="W197" t="s">
        <v>162</v>
      </c>
      <c r="X197">
        <v>0.85297285741929674</v>
      </c>
      <c r="Y197">
        <v>0.78233040191242686</v>
      </c>
      <c r="Z197">
        <v>-4.6539966836571693</v>
      </c>
      <c r="AA197">
        <v>4.2541650523053081</v>
      </c>
      <c r="AB197">
        <v>1.1037813644049379</v>
      </c>
    </row>
    <row r="198" spans="1:28" x14ac:dyDescent="0.25">
      <c r="A198">
        <v>11</v>
      </c>
      <c r="B198">
        <v>34</v>
      </c>
      <c r="C198">
        <v>22</v>
      </c>
      <c r="D198">
        <v>8497</v>
      </c>
      <c r="E198">
        <v>72</v>
      </c>
      <c r="F198">
        <v>13</v>
      </c>
      <c r="G198">
        <v>10.98172548599541</v>
      </c>
      <c r="H198" t="s">
        <v>163</v>
      </c>
      <c r="I198" t="s">
        <v>35</v>
      </c>
      <c r="J198">
        <v>0</v>
      </c>
      <c r="K198">
        <v>108</v>
      </c>
      <c r="L198" t="s">
        <v>164</v>
      </c>
      <c r="M198">
        <v>2640</v>
      </c>
      <c r="N198">
        <v>11.869294486939911</v>
      </c>
      <c r="O198">
        <v>17.832245012745261</v>
      </c>
      <c r="P198">
        <v>15.302413104102021</v>
      </c>
      <c r="Q198">
        <v>31.036520244553689</v>
      </c>
      <c r="R198">
        <v>7</v>
      </c>
      <c r="S198" t="s">
        <v>31</v>
      </c>
      <c r="T198">
        <v>2023</v>
      </c>
      <c r="U198" s="1">
        <v>45901.600802198707</v>
      </c>
      <c r="V198" t="s">
        <v>32</v>
      </c>
      <c r="W198" t="s">
        <v>162</v>
      </c>
      <c r="X198">
        <v>1.233720150450822</v>
      </c>
      <c r="Y198">
        <v>1.18378482658107</v>
      </c>
      <c r="Z198">
        <v>4.1677549872547388</v>
      </c>
      <c r="AA198">
        <v>3.6818181818181821</v>
      </c>
      <c r="AB198">
        <v>0.60791744361631572</v>
      </c>
    </row>
    <row r="199" spans="1:28" x14ac:dyDescent="0.25">
      <c r="A199">
        <v>2</v>
      </c>
      <c r="B199">
        <v>30</v>
      </c>
      <c r="C199">
        <v>21</v>
      </c>
      <c r="D199">
        <v>5232</v>
      </c>
      <c r="E199">
        <v>27</v>
      </c>
      <c r="F199">
        <v>16</v>
      </c>
      <c r="G199">
        <v>17.507253035902981</v>
      </c>
      <c r="H199" t="s">
        <v>158</v>
      </c>
      <c r="I199" t="s">
        <v>29</v>
      </c>
      <c r="J199">
        <v>0</v>
      </c>
      <c r="K199">
        <v>78</v>
      </c>
      <c r="L199" t="s">
        <v>58</v>
      </c>
      <c r="M199">
        <v>2305</v>
      </c>
      <c r="N199">
        <v>3.6520401313900952</v>
      </c>
      <c r="O199">
        <v>22.074266314506531</v>
      </c>
      <c r="P199">
        <v>5.7547981403768063</v>
      </c>
      <c r="Q199">
        <v>24.04115197062492</v>
      </c>
      <c r="R199">
        <v>1</v>
      </c>
      <c r="S199" t="s">
        <v>31</v>
      </c>
      <c r="T199">
        <v>2023</v>
      </c>
      <c r="U199" s="1">
        <v>45901.600802198707</v>
      </c>
      <c r="V199" t="s">
        <v>32</v>
      </c>
      <c r="W199" t="s">
        <v>162</v>
      </c>
      <c r="X199">
        <v>0.95133399682685915</v>
      </c>
      <c r="Y199">
        <v>0.91390693715273441</v>
      </c>
      <c r="Z199">
        <v>-1.074266314506531</v>
      </c>
      <c r="AA199">
        <v>3.0455531453362261</v>
      </c>
      <c r="AB199">
        <v>0.86190193852736996</v>
      </c>
    </row>
    <row r="200" spans="1:28" x14ac:dyDescent="0.25">
      <c r="A200">
        <v>3</v>
      </c>
      <c r="B200">
        <v>38</v>
      </c>
      <c r="C200">
        <v>19</v>
      </c>
      <c r="D200">
        <v>1679</v>
      </c>
      <c r="E200">
        <v>39</v>
      </c>
      <c r="F200">
        <v>17</v>
      </c>
      <c r="G200">
        <v>19.123324334621429</v>
      </c>
      <c r="H200" t="s">
        <v>165</v>
      </c>
      <c r="I200" t="s">
        <v>29</v>
      </c>
      <c r="J200">
        <v>0</v>
      </c>
      <c r="K200">
        <v>109</v>
      </c>
      <c r="L200" t="s">
        <v>88</v>
      </c>
      <c r="M200">
        <v>3346</v>
      </c>
      <c r="N200">
        <v>3.5437498800456519</v>
      </c>
      <c r="O200">
        <v>21.406830873340368</v>
      </c>
      <c r="P200">
        <v>4.080137750133872</v>
      </c>
      <c r="Q200">
        <v>22.588011927902699</v>
      </c>
      <c r="R200">
        <v>3</v>
      </c>
      <c r="S200" t="s">
        <v>31</v>
      </c>
      <c r="T200">
        <v>2023</v>
      </c>
      <c r="U200" s="1">
        <v>45901.600802198707</v>
      </c>
      <c r="V200" t="s">
        <v>32</v>
      </c>
      <c r="W200" t="s">
        <v>162</v>
      </c>
      <c r="X200">
        <v>0.88756715612969195</v>
      </c>
      <c r="Y200">
        <v>0.88896677703795979</v>
      </c>
      <c r="Z200">
        <v>-2.4068308733403678</v>
      </c>
      <c r="AA200">
        <v>2.931858936043036</v>
      </c>
      <c r="AB200">
        <v>0.57579640723270564</v>
      </c>
    </row>
    <row r="201" spans="1:28" x14ac:dyDescent="0.25">
      <c r="A201">
        <v>8</v>
      </c>
      <c r="B201">
        <v>35</v>
      </c>
      <c r="C201">
        <v>19</v>
      </c>
      <c r="D201">
        <v>6055</v>
      </c>
      <c r="E201">
        <v>73</v>
      </c>
      <c r="F201">
        <v>19</v>
      </c>
      <c r="G201">
        <v>11.30798300541937</v>
      </c>
      <c r="H201" t="s">
        <v>156</v>
      </c>
      <c r="I201" t="s">
        <v>35</v>
      </c>
      <c r="J201">
        <v>0</v>
      </c>
      <c r="K201">
        <v>105</v>
      </c>
      <c r="L201" t="s">
        <v>30</v>
      </c>
      <c r="M201">
        <v>2895</v>
      </c>
      <c r="N201">
        <v>8.5162328518927097</v>
      </c>
      <c r="O201">
        <v>11.30798300541937</v>
      </c>
      <c r="P201">
        <v>16.99899828247726</v>
      </c>
      <c r="Q201">
        <v>30.416967213153839</v>
      </c>
      <c r="R201">
        <v>2</v>
      </c>
      <c r="S201" t="s">
        <v>31</v>
      </c>
      <c r="T201">
        <v>2023</v>
      </c>
      <c r="U201" s="1">
        <v>45901.600802198707</v>
      </c>
      <c r="V201" t="s">
        <v>32</v>
      </c>
      <c r="W201" t="s">
        <v>162</v>
      </c>
      <c r="X201">
        <v>1.680228913582043</v>
      </c>
      <c r="Y201">
        <v>1.680228913582043</v>
      </c>
      <c r="Z201">
        <v>7.6920169945806256</v>
      </c>
      <c r="AA201">
        <v>3.264248704663212</v>
      </c>
      <c r="AB201">
        <v>0.35154351312184579</v>
      </c>
    </row>
    <row r="202" spans="1:28" x14ac:dyDescent="0.25">
      <c r="A202">
        <v>13</v>
      </c>
      <c r="B202">
        <v>37</v>
      </c>
      <c r="C202">
        <v>19</v>
      </c>
      <c r="D202">
        <v>8865</v>
      </c>
      <c r="E202">
        <v>45</v>
      </c>
      <c r="F202">
        <v>19</v>
      </c>
      <c r="G202">
        <v>19.264598369598389</v>
      </c>
      <c r="H202" t="s">
        <v>133</v>
      </c>
      <c r="I202" t="s">
        <v>32</v>
      </c>
      <c r="J202">
        <v>0</v>
      </c>
      <c r="K202">
        <v>106</v>
      </c>
      <c r="L202" t="s">
        <v>47</v>
      </c>
      <c r="M202">
        <v>3250</v>
      </c>
      <c r="N202">
        <v>7.7457445356994867</v>
      </c>
      <c r="O202">
        <v>19.264598369598389</v>
      </c>
      <c r="P202">
        <v>5.8996418192982674</v>
      </c>
      <c r="Q202">
        <v>29.229417741298679</v>
      </c>
      <c r="R202">
        <v>4</v>
      </c>
      <c r="S202" t="s">
        <v>31</v>
      </c>
      <c r="T202">
        <v>2023</v>
      </c>
      <c r="U202" s="1">
        <v>45901.600802198707</v>
      </c>
      <c r="V202" t="s">
        <v>32</v>
      </c>
      <c r="W202" t="s">
        <v>162</v>
      </c>
      <c r="X202">
        <v>0.98626504614724009</v>
      </c>
      <c r="Y202">
        <v>0.98626504614724009</v>
      </c>
      <c r="Z202">
        <v>-0.26459836959838873</v>
      </c>
      <c r="AA202">
        <v>2.9353846153846148</v>
      </c>
      <c r="AB202">
        <v>0.53348118561964775</v>
      </c>
    </row>
    <row r="203" spans="1:28" x14ac:dyDescent="0.25">
      <c r="A203">
        <v>10</v>
      </c>
      <c r="B203">
        <v>32</v>
      </c>
      <c r="C203">
        <v>18</v>
      </c>
      <c r="D203">
        <v>1250</v>
      </c>
      <c r="E203">
        <v>66</v>
      </c>
      <c r="F203">
        <v>13</v>
      </c>
      <c r="G203">
        <v>16.613166783004999</v>
      </c>
      <c r="H203" t="s">
        <v>96</v>
      </c>
      <c r="I203" t="s">
        <v>29</v>
      </c>
      <c r="J203">
        <v>0</v>
      </c>
      <c r="K203">
        <v>114</v>
      </c>
      <c r="L203" t="s">
        <v>82</v>
      </c>
      <c r="M203">
        <v>2556</v>
      </c>
      <c r="N203">
        <v>12.332044444978241</v>
      </c>
      <c r="O203">
        <v>21.941274393349889</v>
      </c>
      <c r="P203">
        <v>8.3635669145733118</v>
      </c>
      <c r="Q203">
        <v>31.875095803290609</v>
      </c>
      <c r="R203">
        <v>2</v>
      </c>
      <c r="S203" t="s">
        <v>31</v>
      </c>
      <c r="T203">
        <v>2023</v>
      </c>
      <c r="U203" s="1">
        <v>45901.600802198707</v>
      </c>
      <c r="V203" t="s">
        <v>32</v>
      </c>
      <c r="W203" t="s">
        <v>162</v>
      </c>
      <c r="X203">
        <v>0.82037167382836984</v>
      </c>
      <c r="Y203">
        <v>0.78251185760073083</v>
      </c>
      <c r="Z203">
        <v>-3.941274393349889</v>
      </c>
      <c r="AA203">
        <v>4.0140845070422531</v>
      </c>
      <c r="AB203">
        <v>0.77258008427288338</v>
      </c>
    </row>
    <row r="204" spans="1:28" x14ac:dyDescent="0.25">
      <c r="A204">
        <v>10</v>
      </c>
      <c r="B204">
        <v>35</v>
      </c>
      <c r="C204">
        <v>17</v>
      </c>
      <c r="D204">
        <v>453</v>
      </c>
      <c r="E204">
        <v>69</v>
      </c>
      <c r="F204">
        <v>15</v>
      </c>
      <c r="G204">
        <v>11.45628322660923</v>
      </c>
      <c r="H204" t="s">
        <v>92</v>
      </c>
      <c r="I204" t="s">
        <v>35</v>
      </c>
      <c r="J204">
        <v>0</v>
      </c>
      <c r="K204">
        <v>85</v>
      </c>
      <c r="L204" t="s">
        <v>36</v>
      </c>
      <c r="M204">
        <v>2989</v>
      </c>
      <c r="N204">
        <v>13.34102065861225</v>
      </c>
      <c r="O204">
        <v>12.97862090170384</v>
      </c>
      <c r="P204">
        <v>10.445971379056569</v>
      </c>
      <c r="Q204">
        <v>30.115575216710571</v>
      </c>
      <c r="R204">
        <v>1</v>
      </c>
      <c r="S204" t="s">
        <v>31</v>
      </c>
      <c r="T204">
        <v>2023</v>
      </c>
      <c r="U204" s="1">
        <v>45901.600802198707</v>
      </c>
      <c r="V204" t="s">
        <v>32</v>
      </c>
      <c r="W204" t="s">
        <v>162</v>
      </c>
      <c r="X204">
        <v>1.3098464103969809</v>
      </c>
      <c r="Y204">
        <v>1.30932517146223</v>
      </c>
      <c r="Z204">
        <v>4.0213790982961637</v>
      </c>
      <c r="AA204">
        <v>2.5593844095015061</v>
      </c>
      <c r="AB204">
        <v>0.39079152932530792</v>
      </c>
    </row>
    <row r="205" spans="1:28" x14ac:dyDescent="0.25">
      <c r="A205">
        <v>6</v>
      </c>
      <c r="B205">
        <v>34</v>
      </c>
      <c r="C205">
        <v>16</v>
      </c>
      <c r="D205">
        <v>1776</v>
      </c>
      <c r="E205">
        <v>32</v>
      </c>
      <c r="F205">
        <v>16</v>
      </c>
      <c r="G205">
        <v>13.49863642081618</v>
      </c>
      <c r="H205" t="s">
        <v>143</v>
      </c>
      <c r="I205" t="s">
        <v>49</v>
      </c>
      <c r="J205">
        <v>0</v>
      </c>
      <c r="K205">
        <v>85</v>
      </c>
      <c r="L205" t="s">
        <v>66</v>
      </c>
      <c r="M205">
        <v>3026</v>
      </c>
      <c r="N205">
        <v>6.4377079587429762</v>
      </c>
      <c r="O205">
        <v>13.49863642081618</v>
      </c>
      <c r="P205">
        <v>2.4570546299219131</v>
      </c>
      <c r="Q205">
        <v>17.769425924867392</v>
      </c>
      <c r="R205">
        <v>2</v>
      </c>
      <c r="S205" t="s">
        <v>31</v>
      </c>
      <c r="T205">
        <v>2023</v>
      </c>
      <c r="U205" s="1">
        <v>45901.600802198707</v>
      </c>
      <c r="V205" t="s">
        <v>32</v>
      </c>
      <c r="W205" t="s">
        <v>162</v>
      </c>
      <c r="X205">
        <v>1.185304907933254</v>
      </c>
      <c r="Y205">
        <v>1.185304907933254</v>
      </c>
      <c r="Z205">
        <v>2.5013635791838151</v>
      </c>
      <c r="AA205">
        <v>2.5280898876404492</v>
      </c>
      <c r="AB205">
        <v>0.40147960273412309</v>
      </c>
    </row>
    <row r="206" spans="1:28" x14ac:dyDescent="0.25">
      <c r="A206">
        <v>5</v>
      </c>
      <c r="B206">
        <v>35</v>
      </c>
      <c r="C206">
        <v>16</v>
      </c>
      <c r="D206">
        <v>5735</v>
      </c>
      <c r="E206">
        <v>32</v>
      </c>
      <c r="F206">
        <v>14</v>
      </c>
      <c r="G206">
        <v>10.76818593591452</v>
      </c>
      <c r="H206" t="s">
        <v>166</v>
      </c>
      <c r="I206" t="s">
        <v>29</v>
      </c>
      <c r="J206">
        <v>0</v>
      </c>
      <c r="K206">
        <v>46</v>
      </c>
      <c r="L206" t="s">
        <v>90</v>
      </c>
      <c r="M206">
        <v>2303</v>
      </c>
      <c r="N206">
        <v>3.52706278860569</v>
      </c>
      <c r="O206">
        <v>12.29052362591028</v>
      </c>
      <c r="P206">
        <v>2.852151058614254</v>
      </c>
      <c r="Q206">
        <v>15.486321330070499</v>
      </c>
      <c r="R206">
        <v>3</v>
      </c>
      <c r="S206" t="s">
        <v>31</v>
      </c>
      <c r="T206">
        <v>2023</v>
      </c>
      <c r="U206" s="1">
        <v>45901.600802198707</v>
      </c>
      <c r="V206" t="s">
        <v>32</v>
      </c>
      <c r="W206" t="s">
        <v>162</v>
      </c>
      <c r="X206">
        <v>1.301815975217653</v>
      </c>
      <c r="Y206">
        <v>1.300126138545453</v>
      </c>
      <c r="Z206">
        <v>3.7094763740897179</v>
      </c>
      <c r="AA206">
        <v>1.797655232305688</v>
      </c>
      <c r="AB206">
        <v>0.48030704573683258</v>
      </c>
    </row>
    <row r="207" spans="1:28" x14ac:dyDescent="0.25">
      <c r="A207">
        <v>8</v>
      </c>
      <c r="B207">
        <v>35</v>
      </c>
      <c r="C207">
        <v>16</v>
      </c>
      <c r="D207">
        <v>7322</v>
      </c>
      <c r="E207">
        <v>89</v>
      </c>
      <c r="F207">
        <v>10</v>
      </c>
      <c r="G207">
        <v>12.240043208003041</v>
      </c>
      <c r="H207" t="s">
        <v>145</v>
      </c>
      <c r="I207" t="s">
        <v>32</v>
      </c>
      <c r="J207">
        <v>0</v>
      </c>
      <c r="K207">
        <v>107</v>
      </c>
      <c r="L207" t="s">
        <v>42</v>
      </c>
      <c r="M207">
        <v>2990</v>
      </c>
      <c r="N207">
        <v>11.325986489653589</v>
      </c>
      <c r="O207">
        <v>16.807056225836281</v>
      </c>
      <c r="P207">
        <v>13.2286195345223</v>
      </c>
      <c r="Q207">
        <v>30.357597015798088</v>
      </c>
      <c r="R207">
        <v>4</v>
      </c>
      <c r="S207" t="s">
        <v>31</v>
      </c>
      <c r="T207">
        <v>2023</v>
      </c>
      <c r="U207" s="1">
        <v>45901.600802198707</v>
      </c>
      <c r="V207" t="s">
        <v>32</v>
      </c>
      <c r="W207" t="s">
        <v>162</v>
      </c>
      <c r="X207">
        <v>0.9519811075186595</v>
      </c>
      <c r="Y207">
        <v>0.81699058002193881</v>
      </c>
      <c r="Z207">
        <v>-0.80705622583627701</v>
      </c>
      <c r="AA207">
        <v>3.2207357859531771</v>
      </c>
      <c r="AB207">
        <v>0.50589801348671071</v>
      </c>
    </row>
    <row r="208" spans="1:28" x14ac:dyDescent="0.25">
      <c r="A208">
        <v>1</v>
      </c>
      <c r="B208">
        <v>31</v>
      </c>
      <c r="C208">
        <v>14</v>
      </c>
      <c r="D208">
        <v>4456</v>
      </c>
      <c r="E208">
        <v>22</v>
      </c>
      <c r="F208">
        <v>14</v>
      </c>
      <c r="G208">
        <v>13.36427200213075</v>
      </c>
      <c r="H208" t="s">
        <v>106</v>
      </c>
      <c r="I208" t="s">
        <v>29</v>
      </c>
      <c r="J208">
        <v>0</v>
      </c>
      <c r="K208">
        <v>48</v>
      </c>
      <c r="L208" t="s">
        <v>160</v>
      </c>
      <c r="M208">
        <v>1797</v>
      </c>
      <c r="N208">
        <v>1.987032251432538</v>
      </c>
      <c r="O208">
        <v>13.36427200213075</v>
      </c>
      <c r="P208">
        <v>0.91636620368808519</v>
      </c>
      <c r="Q208">
        <v>15.3453521989286</v>
      </c>
      <c r="R208">
        <v>0</v>
      </c>
      <c r="S208" t="s">
        <v>31</v>
      </c>
      <c r="T208">
        <v>2023</v>
      </c>
      <c r="U208" s="1">
        <v>45901.600802198707</v>
      </c>
      <c r="V208" t="s">
        <v>32</v>
      </c>
      <c r="W208" t="s">
        <v>162</v>
      </c>
      <c r="X208">
        <v>1.047569220214007</v>
      </c>
      <c r="Y208">
        <v>1.047569220214007</v>
      </c>
      <c r="Z208">
        <v>0.63572799786925138</v>
      </c>
      <c r="AA208">
        <v>2.4040066777963269</v>
      </c>
      <c r="AB208">
        <v>0.66932914868768356</v>
      </c>
    </row>
    <row r="209" spans="1:28" x14ac:dyDescent="0.25">
      <c r="A209">
        <v>5</v>
      </c>
      <c r="B209">
        <v>35</v>
      </c>
      <c r="C209">
        <v>14</v>
      </c>
      <c r="D209">
        <v>10048</v>
      </c>
      <c r="E209">
        <v>36</v>
      </c>
      <c r="F209">
        <v>14</v>
      </c>
      <c r="G209">
        <v>19.86059393920004</v>
      </c>
      <c r="H209" t="s">
        <v>167</v>
      </c>
      <c r="I209" t="s">
        <v>35</v>
      </c>
      <c r="J209">
        <v>0</v>
      </c>
      <c r="K209">
        <v>80</v>
      </c>
      <c r="L209" t="s">
        <v>38</v>
      </c>
      <c r="M209">
        <v>2818</v>
      </c>
      <c r="N209">
        <v>5.2836981769651166</v>
      </c>
      <c r="O209">
        <v>19.86059393920004</v>
      </c>
      <c r="P209">
        <v>7.2704638354480267</v>
      </c>
      <c r="Q209">
        <v>27.917255371809009</v>
      </c>
      <c r="R209">
        <v>10</v>
      </c>
      <c r="S209" t="s">
        <v>31</v>
      </c>
      <c r="T209">
        <v>2023</v>
      </c>
      <c r="U209" s="1">
        <v>45901.600802198707</v>
      </c>
      <c r="V209" t="s">
        <v>32</v>
      </c>
      <c r="W209" t="s">
        <v>162</v>
      </c>
      <c r="X209">
        <v>0.70491346043621395</v>
      </c>
      <c r="Y209">
        <v>0.70491346043621395</v>
      </c>
      <c r="Z209">
        <v>-5.8605939392000437</v>
      </c>
      <c r="AA209">
        <v>2.555003548616039</v>
      </c>
      <c r="AB209">
        <v>0.63429859990347903</v>
      </c>
    </row>
    <row r="210" spans="1:28" x14ac:dyDescent="0.25">
      <c r="A210">
        <v>7</v>
      </c>
      <c r="B210">
        <v>37</v>
      </c>
      <c r="C210">
        <v>13</v>
      </c>
      <c r="D210">
        <v>5220</v>
      </c>
      <c r="E210">
        <v>45</v>
      </c>
      <c r="F210">
        <v>12</v>
      </c>
      <c r="G210">
        <v>12.704561084508899</v>
      </c>
      <c r="H210" t="s">
        <v>168</v>
      </c>
      <c r="I210" t="s">
        <v>35</v>
      </c>
      <c r="J210">
        <v>0</v>
      </c>
      <c r="K210">
        <v>69</v>
      </c>
      <c r="L210" t="s">
        <v>42</v>
      </c>
      <c r="M210">
        <v>2651</v>
      </c>
      <c r="N210">
        <v>5.8143705390393734</v>
      </c>
      <c r="O210">
        <v>13.465729914605619</v>
      </c>
      <c r="P210">
        <v>9.3461419437080622</v>
      </c>
      <c r="Q210">
        <v>24.790123470127579</v>
      </c>
      <c r="R210">
        <v>11</v>
      </c>
      <c r="S210" t="s">
        <v>31</v>
      </c>
      <c r="T210">
        <v>2023</v>
      </c>
      <c r="U210" s="1">
        <v>45901.600802198707</v>
      </c>
      <c r="V210" t="s">
        <v>32</v>
      </c>
      <c r="W210" t="s">
        <v>162</v>
      </c>
      <c r="X210">
        <v>0.96541368959877449</v>
      </c>
      <c r="Y210">
        <v>0.94454266622654193</v>
      </c>
      <c r="Z210">
        <v>-0.46572991460561752</v>
      </c>
      <c r="AA210">
        <v>2.3425122595247081</v>
      </c>
      <c r="AB210">
        <v>0.45715416533930803</v>
      </c>
    </row>
    <row r="211" spans="1:28" x14ac:dyDescent="0.25">
      <c r="A211">
        <v>3</v>
      </c>
      <c r="B211">
        <v>34</v>
      </c>
      <c r="C211">
        <v>12</v>
      </c>
      <c r="D211">
        <v>5786</v>
      </c>
      <c r="E211">
        <v>29</v>
      </c>
      <c r="F211">
        <v>12</v>
      </c>
      <c r="G211">
        <v>11.169999625533819</v>
      </c>
      <c r="H211" t="s">
        <v>169</v>
      </c>
      <c r="I211" t="s">
        <v>29</v>
      </c>
      <c r="J211">
        <v>0</v>
      </c>
      <c r="K211">
        <v>67</v>
      </c>
      <c r="L211" t="s">
        <v>142</v>
      </c>
      <c r="M211">
        <v>2556</v>
      </c>
      <c r="N211">
        <v>3.8285211436450481</v>
      </c>
      <c r="O211">
        <v>11.169999625533819</v>
      </c>
      <c r="P211">
        <v>4.5875907903537154</v>
      </c>
      <c r="Q211">
        <v>16.368419870734211</v>
      </c>
      <c r="R211">
        <v>7</v>
      </c>
      <c r="S211" t="s">
        <v>31</v>
      </c>
      <c r="T211">
        <v>2023</v>
      </c>
      <c r="U211" s="1">
        <v>45901.600802198707</v>
      </c>
      <c r="V211" t="s">
        <v>32</v>
      </c>
      <c r="W211" t="s">
        <v>162</v>
      </c>
      <c r="X211">
        <v>1.074306213275859</v>
      </c>
      <c r="Y211">
        <v>1.074306213275859</v>
      </c>
      <c r="Z211">
        <v>0.8300003744661808</v>
      </c>
      <c r="AA211">
        <v>2.359154929577465</v>
      </c>
      <c r="AB211">
        <v>0.39330984596950069</v>
      </c>
    </row>
    <row r="212" spans="1:28" x14ac:dyDescent="0.25">
      <c r="A212">
        <v>7</v>
      </c>
      <c r="B212">
        <v>32</v>
      </c>
      <c r="C212">
        <v>12</v>
      </c>
      <c r="D212">
        <v>7080</v>
      </c>
      <c r="E212">
        <v>28</v>
      </c>
      <c r="F212">
        <v>11</v>
      </c>
      <c r="G212">
        <v>9.4679514402523637</v>
      </c>
      <c r="H212" t="s">
        <v>170</v>
      </c>
      <c r="I212" t="s">
        <v>35</v>
      </c>
      <c r="J212">
        <v>0</v>
      </c>
      <c r="K212">
        <v>73</v>
      </c>
      <c r="L212" t="s">
        <v>110</v>
      </c>
      <c r="M212">
        <v>2499</v>
      </c>
      <c r="N212">
        <v>3.9200586341321468</v>
      </c>
      <c r="O212">
        <v>10.229120277799669</v>
      </c>
      <c r="P212">
        <v>2.3367981659248471</v>
      </c>
      <c r="Q212">
        <v>12.985038012266161</v>
      </c>
      <c r="R212">
        <v>8</v>
      </c>
      <c r="S212" t="s">
        <v>31</v>
      </c>
      <c r="T212">
        <v>2023</v>
      </c>
      <c r="U212" s="1">
        <v>45901.600802198707</v>
      </c>
      <c r="V212" t="s">
        <v>32</v>
      </c>
      <c r="W212" t="s">
        <v>162</v>
      </c>
      <c r="X212">
        <v>1.1731214096723139</v>
      </c>
      <c r="Y212">
        <v>1.1618141547742029</v>
      </c>
      <c r="Z212">
        <v>1.7708797222003341</v>
      </c>
      <c r="AA212">
        <v>2.629051620648259</v>
      </c>
      <c r="AB212">
        <v>0.36839568827609842</v>
      </c>
    </row>
    <row r="213" spans="1:28" x14ac:dyDescent="0.25">
      <c r="A213">
        <v>1</v>
      </c>
      <c r="B213">
        <v>34</v>
      </c>
      <c r="C213">
        <v>12</v>
      </c>
      <c r="D213">
        <v>7698</v>
      </c>
      <c r="E213">
        <v>24</v>
      </c>
      <c r="F213">
        <v>12</v>
      </c>
      <c r="G213">
        <v>9.5757675487548113</v>
      </c>
      <c r="H213" t="s">
        <v>171</v>
      </c>
      <c r="I213" t="s">
        <v>35</v>
      </c>
      <c r="J213">
        <v>0</v>
      </c>
      <c r="K213">
        <v>60</v>
      </c>
      <c r="L213" t="s">
        <v>42</v>
      </c>
      <c r="M213">
        <v>1649</v>
      </c>
      <c r="N213">
        <v>3.2520737331360579</v>
      </c>
      <c r="O213">
        <v>9.5757675487548113</v>
      </c>
      <c r="P213">
        <v>5.5028668232262126</v>
      </c>
      <c r="Q213">
        <v>16.976479506120089</v>
      </c>
      <c r="R213">
        <v>2</v>
      </c>
      <c r="S213" t="s">
        <v>31</v>
      </c>
      <c r="T213">
        <v>2023</v>
      </c>
      <c r="U213" s="1">
        <v>45901.600802198707</v>
      </c>
      <c r="V213" t="s">
        <v>32</v>
      </c>
      <c r="W213" t="s">
        <v>162</v>
      </c>
      <c r="X213">
        <v>1.2531632518126889</v>
      </c>
      <c r="Y213">
        <v>1.2531632518126889</v>
      </c>
      <c r="Z213">
        <v>2.4242324512451892</v>
      </c>
      <c r="AA213">
        <v>3.2747119466343242</v>
      </c>
      <c r="AB213">
        <v>0.52263133983501098</v>
      </c>
    </row>
    <row r="214" spans="1:28" x14ac:dyDescent="0.25">
      <c r="A214">
        <v>3</v>
      </c>
      <c r="B214">
        <v>29</v>
      </c>
      <c r="C214">
        <v>12</v>
      </c>
      <c r="D214">
        <v>8845</v>
      </c>
      <c r="E214">
        <v>17</v>
      </c>
      <c r="F214">
        <v>11</v>
      </c>
      <c r="G214">
        <v>7.9207026530057192</v>
      </c>
      <c r="H214" t="s">
        <v>172</v>
      </c>
      <c r="I214" t="s">
        <v>35</v>
      </c>
      <c r="J214">
        <v>0</v>
      </c>
      <c r="K214">
        <v>45</v>
      </c>
      <c r="L214" t="s">
        <v>110</v>
      </c>
      <c r="M214">
        <v>2154</v>
      </c>
      <c r="N214">
        <v>3.1403315979987378</v>
      </c>
      <c r="O214">
        <v>8.6818715203553438</v>
      </c>
      <c r="P214">
        <v>2.6239349097013478</v>
      </c>
      <c r="Q214">
        <v>12.02393615338951</v>
      </c>
      <c r="R214">
        <v>6</v>
      </c>
      <c r="S214" t="s">
        <v>31</v>
      </c>
      <c r="T214">
        <v>2023</v>
      </c>
      <c r="U214" s="1">
        <v>45901.600802198707</v>
      </c>
      <c r="V214" t="s">
        <v>32</v>
      </c>
      <c r="W214" t="s">
        <v>162</v>
      </c>
      <c r="X214">
        <v>1.3821904611079581</v>
      </c>
      <c r="Y214">
        <v>1.388765679245106</v>
      </c>
      <c r="Z214">
        <v>3.3181284796446562</v>
      </c>
      <c r="AA214">
        <v>1.880222841225627</v>
      </c>
      <c r="AB214">
        <v>0.36275229193685282</v>
      </c>
    </row>
    <row r="215" spans="1:28" x14ac:dyDescent="0.25">
      <c r="A215">
        <v>4</v>
      </c>
      <c r="B215">
        <v>28</v>
      </c>
      <c r="C215">
        <v>11</v>
      </c>
      <c r="D215">
        <v>6026</v>
      </c>
      <c r="E215">
        <v>15</v>
      </c>
      <c r="F215">
        <v>11</v>
      </c>
      <c r="G215">
        <v>9.6190591510385275</v>
      </c>
      <c r="H215" t="s">
        <v>111</v>
      </c>
      <c r="I215" t="s">
        <v>35</v>
      </c>
      <c r="J215">
        <v>0</v>
      </c>
      <c r="K215">
        <v>61</v>
      </c>
      <c r="L215" t="s">
        <v>36</v>
      </c>
      <c r="M215">
        <v>1511</v>
      </c>
      <c r="N215">
        <v>1.9676255472004409</v>
      </c>
      <c r="O215">
        <v>9.6190591510385275</v>
      </c>
      <c r="P215">
        <v>2.2886698860675101</v>
      </c>
      <c r="Q215">
        <v>12.73510962724686</v>
      </c>
      <c r="R215">
        <v>3</v>
      </c>
      <c r="S215" t="s">
        <v>31</v>
      </c>
      <c r="T215">
        <v>2023</v>
      </c>
      <c r="U215" s="1">
        <v>45901.600802198707</v>
      </c>
      <c r="V215" t="s">
        <v>32</v>
      </c>
      <c r="W215" t="s">
        <v>162</v>
      </c>
      <c r="X215">
        <v>1.1435629854518961</v>
      </c>
      <c r="Y215">
        <v>1.1435629854518961</v>
      </c>
      <c r="Z215">
        <v>1.380940848961473</v>
      </c>
      <c r="AA215">
        <v>3.6333553937789538</v>
      </c>
      <c r="AB215">
        <v>0.57294197458204332</v>
      </c>
    </row>
    <row r="216" spans="1:28" x14ac:dyDescent="0.25">
      <c r="A216">
        <v>10</v>
      </c>
      <c r="B216">
        <v>35</v>
      </c>
      <c r="C216">
        <v>11</v>
      </c>
      <c r="D216">
        <v>8150</v>
      </c>
      <c r="E216">
        <v>56</v>
      </c>
      <c r="F216">
        <v>10</v>
      </c>
      <c r="G216">
        <v>10.53261036798358</v>
      </c>
      <c r="H216" t="s">
        <v>173</v>
      </c>
      <c r="I216" t="s">
        <v>35</v>
      </c>
      <c r="J216">
        <v>1</v>
      </c>
      <c r="K216">
        <v>81</v>
      </c>
      <c r="L216" t="s">
        <v>58</v>
      </c>
      <c r="M216">
        <v>2956</v>
      </c>
      <c r="N216">
        <v>8.8330459855496883</v>
      </c>
      <c r="O216">
        <v>11.293779235333201</v>
      </c>
      <c r="P216">
        <v>11.44216198474169</v>
      </c>
      <c r="Q216">
        <v>26.570194900035851</v>
      </c>
      <c r="R216">
        <v>10</v>
      </c>
      <c r="S216" t="s">
        <v>31</v>
      </c>
      <c r="T216">
        <v>2023</v>
      </c>
      <c r="U216" s="1">
        <v>45901.600802198707</v>
      </c>
      <c r="V216" t="s">
        <v>32</v>
      </c>
      <c r="W216" t="s">
        <v>162</v>
      </c>
      <c r="X216">
        <v>0.97398751744552436</v>
      </c>
      <c r="Y216">
        <v>0.94943225379317386</v>
      </c>
      <c r="Z216">
        <v>-0.29377923533320432</v>
      </c>
      <c r="AA216">
        <v>2.4661705006765899</v>
      </c>
      <c r="AB216">
        <v>0.34385660730040202</v>
      </c>
    </row>
    <row r="217" spans="1:28" x14ac:dyDescent="0.25">
      <c r="A217">
        <v>4</v>
      </c>
      <c r="B217">
        <v>27</v>
      </c>
      <c r="C217">
        <v>11</v>
      </c>
      <c r="D217">
        <v>8706</v>
      </c>
      <c r="E217">
        <v>54</v>
      </c>
      <c r="F217">
        <v>10</v>
      </c>
      <c r="G217">
        <v>8.6119404435157776</v>
      </c>
      <c r="H217" t="s">
        <v>161</v>
      </c>
      <c r="I217" t="s">
        <v>35</v>
      </c>
      <c r="J217">
        <v>0</v>
      </c>
      <c r="K217">
        <v>83</v>
      </c>
      <c r="L217" t="s">
        <v>90</v>
      </c>
      <c r="M217">
        <v>2097</v>
      </c>
      <c r="N217">
        <v>6.8448333665728569</v>
      </c>
      <c r="O217">
        <v>9.3731092885136604</v>
      </c>
      <c r="P217">
        <v>6.3479389026761046</v>
      </c>
      <c r="Q217">
        <v>16.38165108114481</v>
      </c>
      <c r="R217">
        <v>3</v>
      </c>
      <c r="S217" t="s">
        <v>31</v>
      </c>
      <c r="T217">
        <v>2023</v>
      </c>
      <c r="U217" s="1">
        <v>45901.600802198707</v>
      </c>
      <c r="V217" t="s">
        <v>32</v>
      </c>
      <c r="W217" t="s">
        <v>162</v>
      </c>
      <c r="X217">
        <v>1.1735700141126091</v>
      </c>
      <c r="Y217">
        <v>1.1611784899800759</v>
      </c>
      <c r="Z217">
        <v>1.62689071148634</v>
      </c>
      <c r="AA217">
        <v>3.562231759656652</v>
      </c>
      <c r="AB217">
        <v>0.40227936860573649</v>
      </c>
    </row>
    <row r="218" spans="1:28" x14ac:dyDescent="0.25">
      <c r="A218">
        <v>8</v>
      </c>
      <c r="B218">
        <v>36</v>
      </c>
      <c r="C218">
        <v>11</v>
      </c>
      <c r="D218">
        <v>10720</v>
      </c>
      <c r="E218">
        <v>33</v>
      </c>
      <c r="F218">
        <v>11</v>
      </c>
      <c r="G218">
        <v>18.426682134158909</v>
      </c>
      <c r="H218" t="s">
        <v>174</v>
      </c>
      <c r="I218" t="s">
        <v>29</v>
      </c>
      <c r="J218">
        <v>0</v>
      </c>
      <c r="K218">
        <v>108</v>
      </c>
      <c r="L218" t="s">
        <v>82</v>
      </c>
      <c r="M218">
        <v>2037</v>
      </c>
      <c r="N218">
        <v>5.950456521473825</v>
      </c>
      <c r="O218">
        <v>19.18785103131086</v>
      </c>
      <c r="P218">
        <v>5.3131992034614086</v>
      </c>
      <c r="Q218">
        <v>25.078627500683069</v>
      </c>
      <c r="R218">
        <v>9</v>
      </c>
      <c r="S218" t="s">
        <v>31</v>
      </c>
      <c r="T218">
        <v>2023</v>
      </c>
      <c r="U218" s="1">
        <v>45901.600802198707</v>
      </c>
      <c r="V218" t="s">
        <v>32</v>
      </c>
      <c r="W218" t="s">
        <v>162</v>
      </c>
      <c r="X218">
        <v>0.57327941425280671</v>
      </c>
      <c r="Y218">
        <v>0.59696042510053848</v>
      </c>
      <c r="Z218">
        <v>-8.1878510313108563</v>
      </c>
      <c r="AA218">
        <v>4.7717231222385861</v>
      </c>
      <c r="AB218">
        <v>0.8477695595571807</v>
      </c>
    </row>
    <row r="219" spans="1:28" x14ac:dyDescent="0.25">
      <c r="A219">
        <v>8</v>
      </c>
      <c r="B219">
        <v>36</v>
      </c>
      <c r="C219">
        <v>11</v>
      </c>
      <c r="D219">
        <v>10846</v>
      </c>
      <c r="E219">
        <v>66</v>
      </c>
      <c r="F219">
        <v>9</v>
      </c>
      <c r="G219">
        <v>12.85123350471258</v>
      </c>
      <c r="H219" t="s">
        <v>175</v>
      </c>
      <c r="I219" t="s">
        <v>35</v>
      </c>
      <c r="J219">
        <v>0</v>
      </c>
      <c r="K219">
        <v>98</v>
      </c>
      <c r="L219" t="s">
        <v>30</v>
      </c>
      <c r="M219">
        <v>2682</v>
      </c>
      <c r="N219">
        <v>5.8231118349358439</v>
      </c>
      <c r="O219">
        <v>14.373571239411829</v>
      </c>
      <c r="P219">
        <v>13.08929912745953</v>
      </c>
      <c r="Q219">
        <v>27.162230297923092</v>
      </c>
      <c r="R219">
        <v>2</v>
      </c>
      <c r="S219" t="s">
        <v>31</v>
      </c>
      <c r="T219">
        <v>2023</v>
      </c>
      <c r="U219" s="1">
        <v>45901.600802198707</v>
      </c>
      <c r="V219" t="s">
        <v>32</v>
      </c>
      <c r="W219" t="s">
        <v>162</v>
      </c>
      <c r="X219">
        <v>0.76529345538277793</v>
      </c>
      <c r="Y219">
        <v>0.70032187935108925</v>
      </c>
      <c r="Z219">
        <v>-3.3735712394118331</v>
      </c>
      <c r="AA219">
        <v>3.288590604026846</v>
      </c>
      <c r="AB219">
        <v>0.48233460534939032</v>
      </c>
    </row>
    <row r="220" spans="1:28" x14ac:dyDescent="0.25">
      <c r="A220">
        <v>4</v>
      </c>
      <c r="B220">
        <v>38</v>
      </c>
      <c r="C220">
        <v>11</v>
      </c>
      <c r="D220">
        <v>11717</v>
      </c>
      <c r="E220">
        <v>22</v>
      </c>
      <c r="F220">
        <v>6</v>
      </c>
      <c r="G220">
        <v>8.500896904617548</v>
      </c>
      <c r="H220" t="s">
        <v>176</v>
      </c>
      <c r="I220" t="s">
        <v>35</v>
      </c>
      <c r="J220">
        <v>0</v>
      </c>
      <c r="K220">
        <v>72</v>
      </c>
      <c r="L220" t="s">
        <v>177</v>
      </c>
      <c r="M220">
        <v>2879</v>
      </c>
      <c r="N220">
        <v>3.691950936801732</v>
      </c>
      <c r="O220">
        <v>12.30674111843109</v>
      </c>
      <c r="P220">
        <v>5.2025797013193369</v>
      </c>
      <c r="Q220">
        <v>12.545526312664149</v>
      </c>
      <c r="R220">
        <v>4</v>
      </c>
      <c r="S220" t="s">
        <v>31</v>
      </c>
      <c r="T220">
        <v>2023</v>
      </c>
      <c r="U220" s="1">
        <v>45901.600802198707</v>
      </c>
      <c r="V220" t="s">
        <v>32</v>
      </c>
      <c r="W220" t="s">
        <v>162</v>
      </c>
      <c r="X220">
        <v>0.89381907802756477</v>
      </c>
      <c r="Y220">
        <v>0.70580787737125694</v>
      </c>
      <c r="Z220">
        <v>-1.3067411184310911</v>
      </c>
      <c r="AA220">
        <v>2.250781521361584</v>
      </c>
      <c r="AB220">
        <v>0.38471924302146521</v>
      </c>
    </row>
    <row r="221" spans="1:28" x14ac:dyDescent="0.25">
      <c r="A221">
        <v>8</v>
      </c>
      <c r="B221">
        <v>35</v>
      </c>
      <c r="C221">
        <v>10</v>
      </c>
      <c r="D221">
        <v>1228</v>
      </c>
      <c r="E221">
        <v>113</v>
      </c>
      <c r="F221">
        <v>6</v>
      </c>
      <c r="G221">
        <v>6.9404223971068859</v>
      </c>
      <c r="H221" t="s">
        <v>148</v>
      </c>
      <c r="I221" t="s">
        <v>49</v>
      </c>
      <c r="J221">
        <v>0</v>
      </c>
      <c r="K221">
        <v>95</v>
      </c>
      <c r="L221" t="s">
        <v>50</v>
      </c>
      <c r="M221">
        <v>3121</v>
      </c>
      <c r="N221">
        <v>13.158523786813021</v>
      </c>
      <c r="O221">
        <v>10.74626663699746</v>
      </c>
      <c r="P221">
        <v>12.646762706339359</v>
      </c>
      <c r="Q221">
        <v>22.693408288061619</v>
      </c>
      <c r="R221">
        <v>9</v>
      </c>
      <c r="S221" t="s">
        <v>31</v>
      </c>
      <c r="T221">
        <v>2023</v>
      </c>
      <c r="U221" s="1">
        <v>45901.600802198707</v>
      </c>
      <c r="V221" t="s">
        <v>32</v>
      </c>
      <c r="W221" t="s">
        <v>162</v>
      </c>
      <c r="X221">
        <v>0.93055573044984774</v>
      </c>
      <c r="Y221">
        <v>0.86450069703266175</v>
      </c>
      <c r="Z221">
        <v>-0.74626663699745954</v>
      </c>
      <c r="AA221">
        <v>2.7395065684075619</v>
      </c>
      <c r="AB221">
        <v>0.30988913724119549</v>
      </c>
    </row>
    <row r="222" spans="1:28" x14ac:dyDescent="0.25">
      <c r="A222">
        <v>9</v>
      </c>
      <c r="B222">
        <v>35</v>
      </c>
      <c r="C222">
        <v>10</v>
      </c>
      <c r="D222">
        <v>5221</v>
      </c>
      <c r="E222">
        <v>51</v>
      </c>
      <c r="F222">
        <v>10</v>
      </c>
      <c r="G222">
        <v>6.4655649326741704</v>
      </c>
      <c r="H222" t="s">
        <v>178</v>
      </c>
      <c r="I222" t="s">
        <v>35</v>
      </c>
      <c r="J222">
        <v>0</v>
      </c>
      <c r="K222">
        <v>53</v>
      </c>
      <c r="L222" t="s">
        <v>47</v>
      </c>
      <c r="M222">
        <v>2112</v>
      </c>
      <c r="N222">
        <v>10.299157902598379</v>
      </c>
      <c r="O222">
        <v>6.4655649326741704</v>
      </c>
      <c r="P222">
        <v>6.6713723912835121</v>
      </c>
      <c r="Q222">
        <v>17.989742238074541</v>
      </c>
      <c r="R222">
        <v>5</v>
      </c>
      <c r="S222" t="s">
        <v>31</v>
      </c>
      <c r="T222">
        <v>2023</v>
      </c>
      <c r="U222" s="1">
        <v>45901.600802198707</v>
      </c>
      <c r="V222" t="s">
        <v>32</v>
      </c>
      <c r="W222" t="s">
        <v>162</v>
      </c>
      <c r="X222">
        <v>1.5466552581452431</v>
      </c>
      <c r="Y222">
        <v>1.5466552581452431</v>
      </c>
      <c r="Z222">
        <v>3.53443506732583</v>
      </c>
      <c r="AA222">
        <v>2.2585227272727271</v>
      </c>
      <c r="AB222">
        <v>0.27552123292645608</v>
      </c>
    </row>
    <row r="223" spans="1:28" x14ac:dyDescent="0.25">
      <c r="A223">
        <v>3</v>
      </c>
      <c r="B223">
        <v>21</v>
      </c>
      <c r="C223">
        <v>10</v>
      </c>
      <c r="D223">
        <v>6854</v>
      </c>
      <c r="E223">
        <v>23</v>
      </c>
      <c r="F223">
        <v>10</v>
      </c>
      <c r="G223">
        <v>6.7246827930212021</v>
      </c>
      <c r="H223" t="s">
        <v>140</v>
      </c>
      <c r="I223" t="s">
        <v>29</v>
      </c>
      <c r="J223">
        <v>1</v>
      </c>
      <c r="K223">
        <v>41</v>
      </c>
      <c r="L223" t="s">
        <v>82</v>
      </c>
      <c r="M223">
        <v>1164</v>
      </c>
      <c r="N223">
        <v>3.1964935716241598</v>
      </c>
      <c r="O223">
        <v>6.7246827930212021</v>
      </c>
      <c r="P223">
        <v>5.3138735927641392</v>
      </c>
      <c r="Q223">
        <v>12.289753511548041</v>
      </c>
      <c r="R223">
        <v>1</v>
      </c>
      <c r="S223" t="s">
        <v>31</v>
      </c>
      <c r="T223">
        <v>2023</v>
      </c>
      <c r="U223" s="1">
        <v>45901.600802198707</v>
      </c>
      <c r="V223" t="s">
        <v>32</v>
      </c>
      <c r="W223" t="s">
        <v>162</v>
      </c>
      <c r="X223">
        <v>1.487058989663852</v>
      </c>
      <c r="Y223">
        <v>1.487058989663852</v>
      </c>
      <c r="Z223">
        <v>3.2753172069787979</v>
      </c>
      <c r="AA223">
        <v>3.170103092783505</v>
      </c>
      <c r="AB223">
        <v>0.51994970049133005</v>
      </c>
    </row>
    <row r="224" spans="1:28" x14ac:dyDescent="0.25">
      <c r="A224">
        <v>6</v>
      </c>
      <c r="B224">
        <v>19</v>
      </c>
      <c r="C224">
        <v>10</v>
      </c>
      <c r="D224">
        <v>9948</v>
      </c>
      <c r="E224">
        <v>35</v>
      </c>
      <c r="F224">
        <v>9</v>
      </c>
      <c r="G224">
        <v>4.9262443128973246</v>
      </c>
      <c r="H224" t="s">
        <v>179</v>
      </c>
      <c r="I224" t="s">
        <v>35</v>
      </c>
      <c r="J224">
        <v>0</v>
      </c>
      <c r="K224">
        <v>56</v>
      </c>
      <c r="L224" t="s">
        <v>90</v>
      </c>
      <c r="M224">
        <v>1281</v>
      </c>
      <c r="N224">
        <v>5.1966647244989872</v>
      </c>
      <c r="O224">
        <v>5.6874131839722404</v>
      </c>
      <c r="P224">
        <v>5.0466043297201404</v>
      </c>
      <c r="Q224">
        <v>12.075153382495049</v>
      </c>
      <c r="R224">
        <v>0</v>
      </c>
      <c r="S224" t="s">
        <v>31</v>
      </c>
      <c r="T224">
        <v>2023</v>
      </c>
      <c r="U224" s="1">
        <v>45901.600802198707</v>
      </c>
      <c r="V224" t="s">
        <v>32</v>
      </c>
      <c r="W224" t="s">
        <v>162</v>
      </c>
      <c r="X224">
        <v>1.7582685970804981</v>
      </c>
      <c r="Y224">
        <v>1.826949584379572</v>
      </c>
      <c r="Z224">
        <v>4.3125868160277596</v>
      </c>
      <c r="AA224">
        <v>3.9344262295081971</v>
      </c>
      <c r="AB224">
        <v>0.39958406444769839</v>
      </c>
    </row>
    <row r="225" spans="1:28" x14ac:dyDescent="0.25">
      <c r="A225">
        <v>2</v>
      </c>
      <c r="B225">
        <v>30</v>
      </c>
      <c r="C225">
        <v>10</v>
      </c>
      <c r="D225">
        <v>11055</v>
      </c>
      <c r="E225">
        <v>28</v>
      </c>
      <c r="F225">
        <v>10</v>
      </c>
      <c r="G225">
        <v>9.338883213698864</v>
      </c>
      <c r="H225" t="s">
        <v>180</v>
      </c>
      <c r="I225" t="s">
        <v>29</v>
      </c>
      <c r="J225">
        <v>0</v>
      </c>
      <c r="K225">
        <v>38</v>
      </c>
      <c r="L225" t="s">
        <v>50</v>
      </c>
      <c r="M225">
        <v>2210</v>
      </c>
      <c r="N225">
        <v>1.7794601731002331</v>
      </c>
      <c r="O225">
        <v>9.338883213698864</v>
      </c>
      <c r="P225">
        <v>2.9498381465673451</v>
      </c>
      <c r="Q225">
        <v>11.46325523778796</v>
      </c>
      <c r="R225">
        <v>2</v>
      </c>
      <c r="S225" t="s">
        <v>31</v>
      </c>
      <c r="T225">
        <v>2023</v>
      </c>
      <c r="U225" s="1">
        <v>45901.600802198707</v>
      </c>
      <c r="V225" t="s">
        <v>32</v>
      </c>
      <c r="W225" t="s">
        <v>162</v>
      </c>
      <c r="X225">
        <v>1.070791846430992</v>
      </c>
      <c r="Y225">
        <v>1.070791846430992</v>
      </c>
      <c r="Z225">
        <v>0.66111678630113602</v>
      </c>
      <c r="AA225">
        <v>1.5475113122171951</v>
      </c>
      <c r="AB225">
        <v>0.38031651096511221</v>
      </c>
    </row>
    <row r="226" spans="1:28" x14ac:dyDescent="0.25">
      <c r="A226">
        <v>0</v>
      </c>
      <c r="B226">
        <v>27</v>
      </c>
      <c r="C226">
        <v>10</v>
      </c>
      <c r="D226">
        <v>11718</v>
      </c>
      <c r="E226">
        <v>14</v>
      </c>
      <c r="F226">
        <v>10</v>
      </c>
      <c r="G226">
        <v>6.6307812202721834</v>
      </c>
      <c r="H226" t="s">
        <v>181</v>
      </c>
      <c r="I226" t="s">
        <v>35</v>
      </c>
      <c r="J226">
        <v>0</v>
      </c>
      <c r="K226">
        <v>31</v>
      </c>
      <c r="L226" t="s">
        <v>177</v>
      </c>
      <c r="M226">
        <v>1422</v>
      </c>
      <c r="N226">
        <v>0.81366165541112423</v>
      </c>
      <c r="O226">
        <v>6.6307812202721834</v>
      </c>
      <c r="P226">
        <v>1.941164059564471</v>
      </c>
      <c r="Q226">
        <v>8.2812781054526567</v>
      </c>
      <c r="R226">
        <v>1</v>
      </c>
      <c r="S226" t="s">
        <v>31</v>
      </c>
      <c r="T226">
        <v>2023</v>
      </c>
      <c r="U226" s="1">
        <v>45901.600802198707</v>
      </c>
      <c r="V226" t="s">
        <v>32</v>
      </c>
      <c r="W226" t="s">
        <v>162</v>
      </c>
      <c r="X226">
        <v>1.5081179227309081</v>
      </c>
      <c r="Y226">
        <v>1.5081179227309081</v>
      </c>
      <c r="Z226">
        <v>3.369218779727817</v>
      </c>
      <c r="AA226">
        <v>1.962025316455696</v>
      </c>
      <c r="AB226">
        <v>0.41966969748558119</v>
      </c>
    </row>
    <row r="227" spans="1:28" x14ac:dyDescent="0.25">
      <c r="A227">
        <v>18</v>
      </c>
      <c r="B227">
        <v>38</v>
      </c>
      <c r="C227">
        <v>29</v>
      </c>
      <c r="D227">
        <v>1250</v>
      </c>
      <c r="E227">
        <v>89</v>
      </c>
      <c r="F227">
        <v>20</v>
      </c>
      <c r="G227">
        <v>20.855747912079099</v>
      </c>
      <c r="H227" t="s">
        <v>96</v>
      </c>
      <c r="I227" t="s">
        <v>49</v>
      </c>
      <c r="J227">
        <v>0</v>
      </c>
      <c r="K227">
        <v>130</v>
      </c>
      <c r="L227" t="s">
        <v>82</v>
      </c>
      <c r="M227">
        <v>3392</v>
      </c>
      <c r="N227">
        <v>15.858334187418221</v>
      </c>
      <c r="O227">
        <v>27.706267490983009</v>
      </c>
      <c r="P227">
        <v>16.20675839856267</v>
      </c>
      <c r="Q227">
        <v>48.53588879853487</v>
      </c>
      <c r="R227">
        <v>1</v>
      </c>
      <c r="S227" t="s">
        <v>31</v>
      </c>
      <c r="T227">
        <v>2024</v>
      </c>
      <c r="U227" s="1">
        <v>45901.600802198707</v>
      </c>
      <c r="V227" t="s">
        <v>32</v>
      </c>
      <c r="W227" t="s">
        <v>182</v>
      </c>
      <c r="X227">
        <v>1.046694579464305</v>
      </c>
      <c r="Y227">
        <v>0.95896824627500077</v>
      </c>
      <c r="Z227">
        <v>1.2937325090169911</v>
      </c>
      <c r="AA227">
        <v>3.4492924528301891</v>
      </c>
      <c r="AB227">
        <v>0.73513091809801612</v>
      </c>
    </row>
    <row r="228" spans="1:28" x14ac:dyDescent="0.25">
      <c r="A228">
        <v>6</v>
      </c>
      <c r="B228">
        <v>34</v>
      </c>
      <c r="C228">
        <v>23</v>
      </c>
      <c r="D228">
        <v>5232</v>
      </c>
      <c r="E228">
        <v>42</v>
      </c>
      <c r="F228">
        <v>19</v>
      </c>
      <c r="G228">
        <v>19.312312599271539</v>
      </c>
      <c r="H228" t="s">
        <v>158</v>
      </c>
      <c r="I228" t="s">
        <v>32</v>
      </c>
      <c r="J228">
        <v>0</v>
      </c>
      <c r="K228">
        <v>99</v>
      </c>
      <c r="L228" t="s">
        <v>58</v>
      </c>
      <c r="M228">
        <v>2822</v>
      </c>
      <c r="N228">
        <v>5.4487037947401404</v>
      </c>
      <c r="O228">
        <v>22.356988068670031</v>
      </c>
      <c r="P228">
        <v>3.5792379267513752</v>
      </c>
      <c r="Q228">
        <v>26.209551103413109</v>
      </c>
      <c r="R228">
        <v>1</v>
      </c>
      <c r="S228" t="s">
        <v>31</v>
      </c>
      <c r="T228">
        <v>2024</v>
      </c>
      <c r="U228" s="1">
        <v>45901.600802198707</v>
      </c>
      <c r="V228" t="s">
        <v>32</v>
      </c>
      <c r="W228" t="s">
        <v>182</v>
      </c>
      <c r="X228">
        <v>1.0287611161823289</v>
      </c>
      <c r="Y228">
        <v>0.98382831690062245</v>
      </c>
      <c r="Z228">
        <v>0.64301193132996914</v>
      </c>
      <c r="AA228">
        <v>3.1573352232459251</v>
      </c>
      <c r="AB228">
        <v>0.71301521126162393</v>
      </c>
    </row>
    <row r="229" spans="1:28" x14ac:dyDescent="0.25">
      <c r="A229">
        <v>3</v>
      </c>
      <c r="B229">
        <v>31</v>
      </c>
      <c r="C229">
        <v>22</v>
      </c>
      <c r="D229">
        <v>8260</v>
      </c>
      <c r="E229">
        <v>29</v>
      </c>
      <c r="F229">
        <v>19</v>
      </c>
      <c r="G229">
        <v>20.90991743281484</v>
      </c>
      <c r="H229" t="s">
        <v>151</v>
      </c>
      <c r="I229" t="s">
        <v>32</v>
      </c>
      <c r="J229">
        <v>0</v>
      </c>
      <c r="K229">
        <v>109</v>
      </c>
      <c r="L229" t="s">
        <v>30</v>
      </c>
      <c r="M229">
        <v>2749</v>
      </c>
      <c r="N229">
        <v>3.5812273556366558</v>
      </c>
      <c r="O229">
        <v>23.954592827707529</v>
      </c>
      <c r="P229">
        <v>3.535369068384171</v>
      </c>
      <c r="Q229">
        <v>22.845245644450191</v>
      </c>
      <c r="R229">
        <v>2</v>
      </c>
      <c r="S229" t="s">
        <v>31</v>
      </c>
      <c r="T229">
        <v>2024</v>
      </c>
      <c r="U229" s="1">
        <v>45901.600802198707</v>
      </c>
      <c r="V229" t="s">
        <v>32</v>
      </c>
      <c r="W229" t="s">
        <v>182</v>
      </c>
      <c r="X229">
        <v>0.91840425584497043</v>
      </c>
      <c r="Y229">
        <v>0.90865973340394335</v>
      </c>
      <c r="Z229">
        <v>-1.9545928277075291</v>
      </c>
      <c r="AA229">
        <v>3.5685703892324478</v>
      </c>
      <c r="AB229">
        <v>0.78425367569795479</v>
      </c>
    </row>
    <row r="230" spans="1:28" x14ac:dyDescent="0.25">
      <c r="A230">
        <v>3</v>
      </c>
      <c r="B230">
        <v>36</v>
      </c>
      <c r="C230">
        <v>20</v>
      </c>
      <c r="D230">
        <v>4456</v>
      </c>
      <c r="E230">
        <v>22</v>
      </c>
      <c r="F230">
        <v>17</v>
      </c>
      <c r="G230">
        <v>13.35514840483666</v>
      </c>
      <c r="H230" t="s">
        <v>106</v>
      </c>
      <c r="I230" t="s">
        <v>29</v>
      </c>
      <c r="J230">
        <v>0</v>
      </c>
      <c r="K230">
        <v>68</v>
      </c>
      <c r="L230" t="s">
        <v>160</v>
      </c>
      <c r="M230">
        <v>3024</v>
      </c>
      <c r="N230">
        <v>3.0441113673150539</v>
      </c>
      <c r="O230">
        <v>15.638655036687849</v>
      </c>
      <c r="P230">
        <v>1.6692094188183551</v>
      </c>
      <c r="Q230">
        <v>14.720164675265551</v>
      </c>
      <c r="R230">
        <v>1</v>
      </c>
      <c r="S230" t="s">
        <v>31</v>
      </c>
      <c r="T230">
        <v>2024</v>
      </c>
      <c r="U230" s="1">
        <v>45901.600802198707</v>
      </c>
      <c r="V230" t="s">
        <v>32</v>
      </c>
      <c r="W230" t="s">
        <v>182</v>
      </c>
      <c r="X230">
        <v>1.278882356128487</v>
      </c>
      <c r="Y230">
        <v>1.2729173412886481</v>
      </c>
      <c r="Z230">
        <v>4.3613449633121473</v>
      </c>
      <c r="AA230">
        <v>2.0238095238095242</v>
      </c>
      <c r="AB230">
        <v>0.46543616180618608</v>
      </c>
    </row>
    <row r="231" spans="1:28" x14ac:dyDescent="0.25">
      <c r="A231">
        <v>4</v>
      </c>
      <c r="B231">
        <v>35</v>
      </c>
      <c r="C231">
        <v>18</v>
      </c>
      <c r="D231">
        <v>5786</v>
      </c>
      <c r="E231">
        <v>28</v>
      </c>
      <c r="F231">
        <v>18</v>
      </c>
      <c r="G231">
        <v>20.731059528887268</v>
      </c>
      <c r="H231" t="s">
        <v>169</v>
      </c>
      <c r="I231" t="s">
        <v>35</v>
      </c>
      <c r="J231">
        <v>0</v>
      </c>
      <c r="K231">
        <v>90</v>
      </c>
      <c r="L231" t="s">
        <v>142</v>
      </c>
      <c r="M231">
        <v>2943</v>
      </c>
      <c r="N231">
        <v>3.4494741149246688</v>
      </c>
      <c r="O231">
        <v>20.731059528887268</v>
      </c>
      <c r="P231">
        <v>5.4269892545416951</v>
      </c>
      <c r="Q231">
        <v>27.726778712123629</v>
      </c>
      <c r="R231">
        <v>5</v>
      </c>
      <c r="S231" t="s">
        <v>31</v>
      </c>
      <c r="T231">
        <v>2024</v>
      </c>
      <c r="U231" s="1">
        <v>45901.600802198707</v>
      </c>
      <c r="V231" t="s">
        <v>32</v>
      </c>
      <c r="W231" t="s">
        <v>182</v>
      </c>
      <c r="X231">
        <v>0.86826242406560394</v>
      </c>
      <c r="Y231">
        <v>0.86826242406560394</v>
      </c>
      <c r="Z231">
        <v>-2.7310595288872719</v>
      </c>
      <c r="AA231">
        <v>2.7522935779816509</v>
      </c>
      <c r="AB231">
        <v>0.63397735562346402</v>
      </c>
    </row>
    <row r="232" spans="1:28" x14ac:dyDescent="0.25">
      <c r="A232">
        <v>8</v>
      </c>
      <c r="B232">
        <v>38</v>
      </c>
      <c r="C232">
        <v>16</v>
      </c>
      <c r="D232">
        <v>8865</v>
      </c>
      <c r="E232">
        <v>25</v>
      </c>
      <c r="F232">
        <v>14</v>
      </c>
      <c r="G232">
        <v>17.110120534896851</v>
      </c>
      <c r="H232" t="s">
        <v>133</v>
      </c>
      <c r="I232" t="s">
        <v>29</v>
      </c>
      <c r="J232">
        <v>0</v>
      </c>
      <c r="K232">
        <v>84</v>
      </c>
      <c r="L232" t="s">
        <v>47</v>
      </c>
      <c r="M232">
        <v>2666</v>
      </c>
      <c r="N232">
        <v>3.8764041848480701</v>
      </c>
      <c r="O232">
        <v>18.632458329200741</v>
      </c>
      <c r="P232">
        <v>3.2909299470484261</v>
      </c>
      <c r="Q232">
        <v>18.900541841983799</v>
      </c>
      <c r="R232">
        <v>2</v>
      </c>
      <c r="S232" t="s">
        <v>31</v>
      </c>
      <c r="T232">
        <v>2024</v>
      </c>
      <c r="U232" s="1">
        <v>45901.600802198707</v>
      </c>
      <c r="V232" t="s">
        <v>32</v>
      </c>
      <c r="W232" t="s">
        <v>182</v>
      </c>
      <c r="X232">
        <v>0.85871653204906606</v>
      </c>
      <c r="Y232">
        <v>0.81822918613848328</v>
      </c>
      <c r="Z232">
        <v>-2.6324583292007451</v>
      </c>
      <c r="AA232">
        <v>2.8357089272318081</v>
      </c>
      <c r="AB232">
        <v>0.62900271929034768</v>
      </c>
    </row>
    <row r="233" spans="1:28" x14ac:dyDescent="0.25">
      <c r="A233">
        <v>6</v>
      </c>
      <c r="B233">
        <v>33</v>
      </c>
      <c r="C233">
        <v>15</v>
      </c>
      <c r="D233">
        <v>7080</v>
      </c>
      <c r="E233">
        <v>56</v>
      </c>
      <c r="F233">
        <v>15</v>
      </c>
      <c r="G233">
        <v>8.4462989866733551</v>
      </c>
      <c r="H233" t="s">
        <v>170</v>
      </c>
      <c r="I233" t="s">
        <v>35</v>
      </c>
      <c r="J233">
        <v>0</v>
      </c>
      <c r="K233">
        <v>110</v>
      </c>
      <c r="L233" t="s">
        <v>110</v>
      </c>
      <c r="M233">
        <v>2617</v>
      </c>
      <c r="N233">
        <v>7.4111263398081064</v>
      </c>
      <c r="O233">
        <v>8.4462989866733551</v>
      </c>
      <c r="P233">
        <v>7.1014356883242726</v>
      </c>
      <c r="Q233">
        <v>18.023087229579691</v>
      </c>
      <c r="R233">
        <v>4</v>
      </c>
      <c r="S233" t="s">
        <v>31</v>
      </c>
      <c r="T233">
        <v>2024</v>
      </c>
      <c r="U233" s="1">
        <v>45901.600802198707</v>
      </c>
      <c r="V233" t="s">
        <v>32</v>
      </c>
      <c r="W233" t="s">
        <v>182</v>
      </c>
      <c r="X233">
        <v>1.7759257662636769</v>
      </c>
      <c r="Y233">
        <v>1.7759257662636769</v>
      </c>
      <c r="Z233">
        <v>6.5537010133266449</v>
      </c>
      <c r="AA233">
        <v>3.7829575850210171</v>
      </c>
      <c r="AB233">
        <v>0.29047264379082988</v>
      </c>
    </row>
    <row r="234" spans="1:28" x14ac:dyDescent="0.25">
      <c r="A234">
        <v>2</v>
      </c>
      <c r="B234">
        <v>37</v>
      </c>
      <c r="C234">
        <v>14</v>
      </c>
      <c r="D234">
        <v>5735</v>
      </c>
      <c r="E234">
        <v>29</v>
      </c>
      <c r="F234">
        <v>12</v>
      </c>
      <c r="G234">
        <v>14.31028657220304</v>
      </c>
      <c r="H234" t="s">
        <v>166</v>
      </c>
      <c r="I234" t="s">
        <v>29</v>
      </c>
      <c r="J234">
        <v>0</v>
      </c>
      <c r="K234">
        <v>69</v>
      </c>
      <c r="L234" t="s">
        <v>90</v>
      </c>
      <c r="M234">
        <v>2690</v>
      </c>
      <c r="N234">
        <v>3.8527851384133101</v>
      </c>
      <c r="O234">
        <v>15.832624306902289</v>
      </c>
      <c r="P234">
        <v>3.6145096691325298</v>
      </c>
      <c r="Q234">
        <v>18.602611111477021</v>
      </c>
      <c r="R234">
        <v>2</v>
      </c>
      <c r="S234" t="s">
        <v>31</v>
      </c>
      <c r="T234">
        <v>2024</v>
      </c>
      <c r="U234" s="1">
        <v>45901.600802198707</v>
      </c>
      <c r="V234" t="s">
        <v>32</v>
      </c>
      <c r="W234" t="s">
        <v>182</v>
      </c>
      <c r="X234">
        <v>0.88425012358163835</v>
      </c>
      <c r="Y234">
        <v>0.83855763051659304</v>
      </c>
      <c r="Z234">
        <v>-1.8326243069022889</v>
      </c>
      <c r="AA234">
        <v>2.3085501858736062</v>
      </c>
      <c r="AB234">
        <v>0.52971605487777174</v>
      </c>
    </row>
    <row r="235" spans="1:28" x14ac:dyDescent="0.25">
      <c r="A235">
        <v>4</v>
      </c>
      <c r="B235">
        <v>35</v>
      </c>
      <c r="C235">
        <v>14</v>
      </c>
      <c r="D235">
        <v>11070</v>
      </c>
      <c r="E235">
        <v>19</v>
      </c>
      <c r="F235">
        <v>14</v>
      </c>
      <c r="G235">
        <v>11.689683858305219</v>
      </c>
      <c r="H235" t="s">
        <v>183</v>
      </c>
      <c r="I235" t="s">
        <v>29</v>
      </c>
      <c r="J235">
        <v>0</v>
      </c>
      <c r="K235">
        <v>54</v>
      </c>
      <c r="L235" t="s">
        <v>110</v>
      </c>
      <c r="M235">
        <v>2624</v>
      </c>
      <c r="N235">
        <v>3.3586265277117491</v>
      </c>
      <c r="O235">
        <v>11.689683858305219</v>
      </c>
      <c r="P235">
        <v>3.4464203380048271</v>
      </c>
      <c r="Q235">
        <v>16.568026771768931</v>
      </c>
      <c r="R235">
        <v>4</v>
      </c>
      <c r="S235" t="s">
        <v>31</v>
      </c>
      <c r="T235">
        <v>2024</v>
      </c>
      <c r="U235" s="1">
        <v>45901.600802198707</v>
      </c>
      <c r="V235" t="s">
        <v>32</v>
      </c>
      <c r="W235" t="s">
        <v>182</v>
      </c>
      <c r="X235">
        <v>1.197637179045981</v>
      </c>
      <c r="Y235">
        <v>1.197637179045981</v>
      </c>
      <c r="Z235">
        <v>2.3103161416947842</v>
      </c>
      <c r="AA235">
        <v>1.852134146341464</v>
      </c>
      <c r="AB235">
        <v>0.40094190062784663</v>
      </c>
    </row>
    <row r="236" spans="1:28" x14ac:dyDescent="0.25">
      <c r="A236">
        <v>8</v>
      </c>
      <c r="B236">
        <v>34</v>
      </c>
      <c r="C236">
        <v>13</v>
      </c>
      <c r="D236">
        <v>1776</v>
      </c>
      <c r="E236">
        <v>50</v>
      </c>
      <c r="F236">
        <v>12</v>
      </c>
      <c r="G236">
        <v>9.0549350921064615</v>
      </c>
      <c r="H236" t="s">
        <v>143</v>
      </c>
      <c r="I236" t="s">
        <v>49</v>
      </c>
      <c r="J236">
        <v>0</v>
      </c>
      <c r="K236">
        <v>87</v>
      </c>
      <c r="L236" t="s">
        <v>66</v>
      </c>
      <c r="M236">
        <v>2993</v>
      </c>
      <c r="N236">
        <v>7.6333186477422714</v>
      </c>
      <c r="O236">
        <v>9.8161039296537638</v>
      </c>
      <c r="P236">
        <v>3.264575046487153</v>
      </c>
      <c r="Q236">
        <v>15.45670910179615</v>
      </c>
      <c r="R236">
        <v>1</v>
      </c>
      <c r="S236" t="s">
        <v>31</v>
      </c>
      <c r="T236">
        <v>2024</v>
      </c>
      <c r="U236" s="1">
        <v>45901.600802198707</v>
      </c>
      <c r="V236" t="s">
        <v>32</v>
      </c>
      <c r="W236" t="s">
        <v>182</v>
      </c>
      <c r="X236">
        <v>1.324354356184831</v>
      </c>
      <c r="Y236">
        <v>1.325244176566309</v>
      </c>
      <c r="Z236">
        <v>3.1838960703462358</v>
      </c>
      <c r="AA236">
        <v>2.6161042432342132</v>
      </c>
      <c r="AB236">
        <v>0.2951718522114396</v>
      </c>
    </row>
    <row r="237" spans="1:28" x14ac:dyDescent="0.25">
      <c r="A237">
        <v>5</v>
      </c>
      <c r="B237">
        <v>36</v>
      </c>
      <c r="C237">
        <v>13</v>
      </c>
      <c r="D237">
        <v>10408</v>
      </c>
      <c r="E237">
        <v>56</v>
      </c>
      <c r="F237">
        <v>13</v>
      </c>
      <c r="G237">
        <v>12.356329847127199</v>
      </c>
      <c r="H237" t="s">
        <v>184</v>
      </c>
      <c r="I237" t="s">
        <v>35</v>
      </c>
      <c r="J237">
        <v>0</v>
      </c>
      <c r="K237">
        <v>71</v>
      </c>
      <c r="L237" t="s">
        <v>82</v>
      </c>
      <c r="M237">
        <v>2433</v>
      </c>
      <c r="N237">
        <v>6.2451852550730109</v>
      </c>
      <c r="O237">
        <v>12.356329847127199</v>
      </c>
      <c r="P237">
        <v>10.24096798989922</v>
      </c>
      <c r="Q237">
        <v>27.06091837584972</v>
      </c>
      <c r="R237">
        <v>2</v>
      </c>
      <c r="S237" t="s">
        <v>31</v>
      </c>
      <c r="T237">
        <v>2024</v>
      </c>
      <c r="U237" s="1">
        <v>45901.600802198707</v>
      </c>
      <c r="V237" t="s">
        <v>32</v>
      </c>
      <c r="W237" t="s">
        <v>182</v>
      </c>
      <c r="X237">
        <v>1.0520923414020431</v>
      </c>
      <c r="Y237">
        <v>1.0520923414020431</v>
      </c>
      <c r="Z237">
        <v>0.64367015287280083</v>
      </c>
      <c r="AA237">
        <v>2.6263871763255242</v>
      </c>
      <c r="AB237">
        <v>0.45707755291469288</v>
      </c>
    </row>
    <row r="238" spans="1:28" x14ac:dyDescent="0.25">
      <c r="A238">
        <v>3</v>
      </c>
      <c r="B238">
        <v>38</v>
      </c>
      <c r="C238">
        <v>12</v>
      </c>
      <c r="D238">
        <v>4105</v>
      </c>
      <c r="E238">
        <v>25</v>
      </c>
      <c r="F238">
        <v>9</v>
      </c>
      <c r="G238">
        <v>12.12185170408338</v>
      </c>
      <c r="H238" t="s">
        <v>109</v>
      </c>
      <c r="I238" t="s">
        <v>29</v>
      </c>
      <c r="J238">
        <v>0</v>
      </c>
      <c r="K238">
        <v>96</v>
      </c>
      <c r="L238" t="s">
        <v>115</v>
      </c>
      <c r="M238">
        <v>2531</v>
      </c>
      <c r="N238">
        <v>4.0791813191026449</v>
      </c>
      <c r="O238">
        <v>14.405358291231099</v>
      </c>
      <c r="P238">
        <v>5.3985889786854386</v>
      </c>
      <c r="Q238">
        <v>17.431322292424738</v>
      </c>
      <c r="R238">
        <v>4</v>
      </c>
      <c r="S238" t="s">
        <v>31</v>
      </c>
      <c r="T238">
        <v>2024</v>
      </c>
      <c r="U238" s="1">
        <v>45901.600802198707</v>
      </c>
      <c r="V238" t="s">
        <v>32</v>
      </c>
      <c r="W238" t="s">
        <v>182</v>
      </c>
      <c r="X238">
        <v>0.83302336237653329</v>
      </c>
      <c r="Y238">
        <v>0.74246082361890686</v>
      </c>
      <c r="Z238">
        <v>-2.4053582912310958</v>
      </c>
      <c r="AA238">
        <v>3.413670485973924</v>
      </c>
      <c r="AB238">
        <v>0.51224110873599304</v>
      </c>
    </row>
    <row r="239" spans="1:28" x14ac:dyDescent="0.25">
      <c r="A239">
        <v>2</v>
      </c>
      <c r="B239">
        <v>37</v>
      </c>
      <c r="C239">
        <v>12</v>
      </c>
      <c r="D239">
        <v>8868</v>
      </c>
      <c r="E239">
        <v>20</v>
      </c>
      <c r="F239">
        <v>10</v>
      </c>
      <c r="G239">
        <v>10.40864434838295</v>
      </c>
      <c r="H239" t="s">
        <v>185</v>
      </c>
      <c r="I239" t="s">
        <v>29</v>
      </c>
      <c r="J239">
        <v>0</v>
      </c>
      <c r="K239">
        <v>68</v>
      </c>
      <c r="L239" t="s">
        <v>186</v>
      </c>
      <c r="M239">
        <v>2671</v>
      </c>
      <c r="N239">
        <v>2.7844543606042862</v>
      </c>
      <c r="O239">
        <v>11.930982023477551</v>
      </c>
      <c r="P239">
        <v>3.153335133567452</v>
      </c>
      <c r="Q239">
        <v>14.70701450109482</v>
      </c>
      <c r="R239">
        <v>11</v>
      </c>
      <c r="S239" t="s">
        <v>31</v>
      </c>
      <c r="T239">
        <v>2024</v>
      </c>
      <c r="U239" s="1">
        <v>45901.600802198707</v>
      </c>
      <c r="V239" t="s">
        <v>32</v>
      </c>
      <c r="W239" t="s">
        <v>182</v>
      </c>
      <c r="X239">
        <v>1.005784769131882</v>
      </c>
      <c r="Y239">
        <v>0.96073990668665366</v>
      </c>
      <c r="Z239">
        <v>6.9017976522445679E-2</v>
      </c>
      <c r="AA239">
        <v>2.2912766754024712</v>
      </c>
      <c r="AB239">
        <v>0.402017365074122</v>
      </c>
    </row>
    <row r="240" spans="1:28" x14ac:dyDescent="0.25">
      <c r="A240">
        <v>2</v>
      </c>
      <c r="B240">
        <v>38</v>
      </c>
      <c r="C240">
        <v>11</v>
      </c>
      <c r="D240">
        <v>9156</v>
      </c>
      <c r="E240">
        <v>23</v>
      </c>
      <c r="F240">
        <v>11</v>
      </c>
      <c r="G240">
        <v>9.4679976999759674</v>
      </c>
      <c r="H240" t="s">
        <v>187</v>
      </c>
      <c r="I240" t="s">
        <v>35</v>
      </c>
      <c r="J240">
        <v>0</v>
      </c>
      <c r="K240">
        <v>55</v>
      </c>
      <c r="L240" t="s">
        <v>142</v>
      </c>
      <c r="M240">
        <v>2332</v>
      </c>
      <c r="N240">
        <v>3.7145227277651429</v>
      </c>
      <c r="O240">
        <v>9.4679976999759674</v>
      </c>
      <c r="P240">
        <v>4.1054207012057304</v>
      </c>
      <c r="Q240">
        <v>15.76754572242498</v>
      </c>
      <c r="R240">
        <v>3</v>
      </c>
      <c r="S240" t="s">
        <v>31</v>
      </c>
      <c r="T240">
        <v>2024</v>
      </c>
      <c r="U240" s="1">
        <v>45901.600802198707</v>
      </c>
      <c r="V240" t="s">
        <v>32</v>
      </c>
      <c r="W240" t="s">
        <v>182</v>
      </c>
      <c r="X240">
        <v>1.1618084782622959</v>
      </c>
      <c r="Y240">
        <v>1.1618084782622959</v>
      </c>
      <c r="Z240">
        <v>1.532002300024033</v>
      </c>
      <c r="AA240">
        <v>2.1226415094339619</v>
      </c>
      <c r="AB240">
        <v>0.36540299871262311</v>
      </c>
    </row>
    <row r="241" spans="1:28" x14ac:dyDescent="0.25">
      <c r="A241">
        <v>3</v>
      </c>
      <c r="B241">
        <v>33</v>
      </c>
      <c r="C241">
        <v>11</v>
      </c>
      <c r="D241">
        <v>10760</v>
      </c>
      <c r="E241">
        <v>19</v>
      </c>
      <c r="F241">
        <v>11</v>
      </c>
      <c r="G241">
        <v>11.1626183129847</v>
      </c>
      <c r="H241" t="s">
        <v>188</v>
      </c>
      <c r="I241" t="s">
        <v>35</v>
      </c>
      <c r="J241">
        <v>0</v>
      </c>
      <c r="K241">
        <v>54</v>
      </c>
      <c r="L241" t="s">
        <v>36</v>
      </c>
      <c r="M241">
        <v>2178</v>
      </c>
      <c r="N241">
        <v>2.9486883319914341</v>
      </c>
      <c r="O241">
        <v>11.1626183129847</v>
      </c>
      <c r="P241">
        <v>3.746892217546701</v>
      </c>
      <c r="Q241">
        <v>16.477571818977591</v>
      </c>
      <c r="R241">
        <v>5</v>
      </c>
      <c r="S241" t="s">
        <v>31</v>
      </c>
      <c r="T241">
        <v>2024</v>
      </c>
      <c r="U241" s="1">
        <v>45901.600802198707</v>
      </c>
      <c r="V241" t="s">
        <v>32</v>
      </c>
      <c r="W241" t="s">
        <v>182</v>
      </c>
      <c r="X241">
        <v>0.98543188448936392</v>
      </c>
      <c r="Y241">
        <v>0.98543188448936392</v>
      </c>
      <c r="Z241">
        <v>-0.16261831298470319</v>
      </c>
      <c r="AA241">
        <v>2.2314049586776861</v>
      </c>
      <c r="AB241">
        <v>0.46126521954482241</v>
      </c>
    </row>
    <row r="242" spans="1:28" x14ac:dyDescent="0.25">
      <c r="A242">
        <v>5</v>
      </c>
      <c r="B242">
        <v>37</v>
      </c>
      <c r="C242">
        <v>11</v>
      </c>
      <c r="D242">
        <v>11363</v>
      </c>
      <c r="E242">
        <v>46</v>
      </c>
      <c r="F242">
        <v>11</v>
      </c>
      <c r="G242">
        <v>14.54934631288052</v>
      </c>
      <c r="H242" t="s">
        <v>189</v>
      </c>
      <c r="I242" t="s">
        <v>35</v>
      </c>
      <c r="J242">
        <v>0</v>
      </c>
      <c r="K242">
        <v>126</v>
      </c>
      <c r="L242" t="s">
        <v>88</v>
      </c>
      <c r="M242">
        <v>3219</v>
      </c>
      <c r="N242">
        <v>6.608794005587697</v>
      </c>
      <c r="O242">
        <v>14.54934631288052</v>
      </c>
      <c r="P242">
        <v>7.8841678760945797</v>
      </c>
      <c r="Q242">
        <v>26.17976476252079</v>
      </c>
      <c r="R242">
        <v>9</v>
      </c>
      <c r="S242" t="s">
        <v>31</v>
      </c>
      <c r="T242">
        <v>2024</v>
      </c>
      <c r="U242" s="1">
        <v>45901.600802198707</v>
      </c>
      <c r="V242" t="s">
        <v>32</v>
      </c>
      <c r="W242" t="s">
        <v>182</v>
      </c>
      <c r="X242">
        <v>0.75604771262209325</v>
      </c>
      <c r="Y242">
        <v>0.75604771262209325</v>
      </c>
      <c r="Z242">
        <v>-3.5493463128805161</v>
      </c>
      <c r="AA242">
        <v>3.5228331780055919</v>
      </c>
      <c r="AB242">
        <v>0.406785078645308</v>
      </c>
    </row>
    <row r="243" spans="1:28" x14ac:dyDescent="0.25">
      <c r="A243">
        <v>4</v>
      </c>
      <c r="B243">
        <v>30</v>
      </c>
      <c r="C243">
        <v>10</v>
      </c>
      <c r="D243">
        <v>501</v>
      </c>
      <c r="E243">
        <v>23</v>
      </c>
      <c r="F243">
        <v>9</v>
      </c>
      <c r="G243">
        <v>9.6948602460324764</v>
      </c>
      <c r="H243" t="s">
        <v>190</v>
      </c>
      <c r="I243" t="s">
        <v>29</v>
      </c>
      <c r="J243">
        <v>0</v>
      </c>
      <c r="K243">
        <v>59</v>
      </c>
      <c r="L243" t="s">
        <v>103</v>
      </c>
      <c r="M243">
        <v>2152</v>
      </c>
      <c r="N243">
        <v>2.076795544475317</v>
      </c>
      <c r="O243">
        <v>10.45602908357978</v>
      </c>
      <c r="P243">
        <v>5.8725435081869364</v>
      </c>
      <c r="Q243">
        <v>15.51796198263764</v>
      </c>
      <c r="R243">
        <v>4</v>
      </c>
      <c r="S243" t="s">
        <v>31</v>
      </c>
      <c r="T243">
        <v>2024</v>
      </c>
      <c r="U243" s="1">
        <v>45901.600802198707</v>
      </c>
      <c r="V243" t="s">
        <v>32</v>
      </c>
      <c r="W243" t="s">
        <v>182</v>
      </c>
      <c r="X243">
        <v>0.95638601615063101</v>
      </c>
      <c r="Y243">
        <v>0.92832694557749396</v>
      </c>
      <c r="Z243">
        <v>-0.45602908357978039</v>
      </c>
      <c r="AA243">
        <v>2.4674721189591078</v>
      </c>
      <c r="AB243">
        <v>0.43728746167387561</v>
      </c>
    </row>
    <row r="244" spans="1:28" x14ac:dyDescent="0.25">
      <c r="A244">
        <v>6</v>
      </c>
      <c r="B244">
        <v>27</v>
      </c>
      <c r="C244">
        <v>10</v>
      </c>
      <c r="D244">
        <v>8272</v>
      </c>
      <c r="E244">
        <v>30</v>
      </c>
      <c r="F244">
        <v>5</v>
      </c>
      <c r="G244">
        <v>5.0577606651932001</v>
      </c>
      <c r="H244" t="s">
        <v>191</v>
      </c>
      <c r="I244" t="s">
        <v>35</v>
      </c>
      <c r="J244">
        <v>1</v>
      </c>
      <c r="K244">
        <v>47</v>
      </c>
      <c r="L244" t="s">
        <v>103</v>
      </c>
      <c r="M244">
        <v>1975</v>
      </c>
      <c r="N244">
        <v>5.6185191739350557</v>
      </c>
      <c r="O244">
        <v>8.8636048678308725</v>
      </c>
      <c r="P244">
        <v>7.6452163346111766</v>
      </c>
      <c r="Q244">
        <v>15.910436924546961</v>
      </c>
      <c r="R244">
        <v>4</v>
      </c>
      <c r="S244" t="s">
        <v>31</v>
      </c>
      <c r="T244">
        <v>2024</v>
      </c>
      <c r="U244" s="1">
        <v>45901.600802198707</v>
      </c>
      <c r="V244" t="s">
        <v>32</v>
      </c>
      <c r="W244" t="s">
        <v>182</v>
      </c>
      <c r="X244">
        <v>1.1282091371529319</v>
      </c>
      <c r="Y244">
        <v>0.98857979469240198</v>
      </c>
      <c r="Z244">
        <v>1.136395132169127</v>
      </c>
      <c r="AA244">
        <v>2.141772151898734</v>
      </c>
      <c r="AB244">
        <v>0.4039111079011537</v>
      </c>
    </row>
    <row r="245" spans="1:28" x14ac:dyDescent="0.25">
      <c r="A245">
        <v>5</v>
      </c>
      <c r="B245">
        <v>30</v>
      </c>
      <c r="C245">
        <v>10</v>
      </c>
      <c r="D245">
        <v>10048</v>
      </c>
      <c r="E245">
        <v>28</v>
      </c>
      <c r="F245">
        <v>10</v>
      </c>
      <c r="G245">
        <v>13.834070887416599</v>
      </c>
      <c r="H245" t="s">
        <v>167</v>
      </c>
      <c r="I245" t="s">
        <v>29</v>
      </c>
      <c r="J245">
        <v>1</v>
      </c>
      <c r="K245">
        <v>76</v>
      </c>
      <c r="L245" t="s">
        <v>38</v>
      </c>
      <c r="M245">
        <v>2294</v>
      </c>
      <c r="N245">
        <v>3.4723971951752901</v>
      </c>
      <c r="O245">
        <v>13.834070887416599</v>
      </c>
      <c r="P245">
        <v>3.080276776105165</v>
      </c>
      <c r="Q245">
        <v>16.895098600536581</v>
      </c>
      <c r="R245">
        <v>7</v>
      </c>
      <c r="S245" t="s">
        <v>31</v>
      </c>
      <c r="T245">
        <v>2024</v>
      </c>
      <c r="U245" s="1">
        <v>45901.600802198707</v>
      </c>
      <c r="V245" t="s">
        <v>32</v>
      </c>
      <c r="W245" t="s">
        <v>182</v>
      </c>
      <c r="X245">
        <v>0.72285302579271504</v>
      </c>
      <c r="Y245">
        <v>0.72285302579271504</v>
      </c>
      <c r="Z245">
        <v>-3.834070887416599</v>
      </c>
      <c r="AA245">
        <v>2.9816913687881428</v>
      </c>
      <c r="AB245">
        <v>0.5427490757922816</v>
      </c>
    </row>
    <row r="246" spans="1:28" x14ac:dyDescent="0.25">
      <c r="A246">
        <v>4</v>
      </c>
      <c r="B246">
        <v>36</v>
      </c>
      <c r="C246">
        <v>10</v>
      </c>
      <c r="D246">
        <v>10806</v>
      </c>
      <c r="E246">
        <v>37</v>
      </c>
      <c r="F246">
        <v>10</v>
      </c>
      <c r="G246">
        <v>10.222694747149941</v>
      </c>
      <c r="H246" t="s">
        <v>192</v>
      </c>
      <c r="I246" t="s">
        <v>35</v>
      </c>
      <c r="J246">
        <v>0</v>
      </c>
      <c r="K246">
        <v>57</v>
      </c>
      <c r="L246" t="s">
        <v>103</v>
      </c>
      <c r="M246">
        <v>2608</v>
      </c>
      <c r="N246">
        <v>4.9492049794644117</v>
      </c>
      <c r="O246">
        <v>10.222694747149941</v>
      </c>
      <c r="P246">
        <v>8.4278264343738556</v>
      </c>
      <c r="Q246">
        <v>21.4070556089282</v>
      </c>
      <c r="R246">
        <v>1</v>
      </c>
      <c r="S246" t="s">
        <v>31</v>
      </c>
      <c r="T246">
        <v>2024</v>
      </c>
      <c r="U246" s="1">
        <v>45901.600802198707</v>
      </c>
      <c r="V246" t="s">
        <v>32</v>
      </c>
      <c r="W246" t="s">
        <v>182</v>
      </c>
      <c r="X246">
        <v>0.97821565128783383</v>
      </c>
      <c r="Y246">
        <v>0.97821565128783383</v>
      </c>
      <c r="Z246">
        <v>-0.22269474714994431</v>
      </c>
      <c r="AA246">
        <v>1.967024539877301</v>
      </c>
      <c r="AB246">
        <v>0.35277704265471432</v>
      </c>
    </row>
    <row r="247" spans="1:28" x14ac:dyDescent="0.25">
      <c r="A247">
        <v>4</v>
      </c>
      <c r="B247">
        <v>35</v>
      </c>
      <c r="C247">
        <v>10</v>
      </c>
      <c r="D247">
        <v>11296</v>
      </c>
      <c r="E247">
        <v>38</v>
      </c>
      <c r="F247">
        <v>10</v>
      </c>
      <c r="G247">
        <v>8.6012658309191465</v>
      </c>
      <c r="H247" t="s">
        <v>193</v>
      </c>
      <c r="I247" t="s">
        <v>35</v>
      </c>
      <c r="J247">
        <v>0</v>
      </c>
      <c r="K247">
        <v>57</v>
      </c>
      <c r="L247" t="s">
        <v>82</v>
      </c>
      <c r="M247">
        <v>1970</v>
      </c>
      <c r="N247">
        <v>6.2572049405425787</v>
      </c>
      <c r="O247">
        <v>8.6012658309191465</v>
      </c>
      <c r="P247">
        <v>8.6771589135751128</v>
      </c>
      <c r="Q247">
        <v>22.09034220688045</v>
      </c>
      <c r="R247">
        <v>5</v>
      </c>
      <c r="S247" t="s">
        <v>31</v>
      </c>
      <c r="T247">
        <v>2024</v>
      </c>
      <c r="U247" s="1">
        <v>45901.600802198707</v>
      </c>
      <c r="V247" t="s">
        <v>32</v>
      </c>
      <c r="W247" t="s">
        <v>182</v>
      </c>
      <c r="X247">
        <v>1.1626195721160939</v>
      </c>
      <c r="Y247">
        <v>1.1626195721160939</v>
      </c>
      <c r="Z247">
        <v>1.398734169080853</v>
      </c>
      <c r="AA247">
        <v>2.6040609137055841</v>
      </c>
      <c r="AB247">
        <v>0.39295123085417422</v>
      </c>
    </row>
    <row r="248" spans="1:28" x14ac:dyDescent="0.25">
      <c r="A248">
        <v>1</v>
      </c>
      <c r="B248">
        <v>31</v>
      </c>
      <c r="C248">
        <v>10</v>
      </c>
      <c r="D248">
        <v>12963</v>
      </c>
      <c r="E248">
        <v>25</v>
      </c>
      <c r="F248">
        <v>10</v>
      </c>
      <c r="G248">
        <v>12.95310120098293</v>
      </c>
      <c r="H248" t="s">
        <v>194</v>
      </c>
      <c r="I248" t="s">
        <v>29</v>
      </c>
      <c r="J248">
        <v>1</v>
      </c>
      <c r="K248">
        <v>73</v>
      </c>
      <c r="L248" t="s">
        <v>88</v>
      </c>
      <c r="M248">
        <v>2376</v>
      </c>
      <c r="N248">
        <v>1.9151847725734119</v>
      </c>
      <c r="O248">
        <v>13.714270060881971</v>
      </c>
      <c r="P248">
        <v>2.7852252349257469</v>
      </c>
      <c r="Q248">
        <v>15.386878173798319</v>
      </c>
      <c r="R248">
        <v>1</v>
      </c>
      <c r="S248" t="s">
        <v>31</v>
      </c>
      <c r="T248">
        <v>2024</v>
      </c>
      <c r="U248" s="1">
        <v>45901.600802198707</v>
      </c>
      <c r="V248" t="s">
        <v>32</v>
      </c>
      <c r="W248" t="s">
        <v>182</v>
      </c>
      <c r="X248">
        <v>0.72916749893409161</v>
      </c>
      <c r="Y248">
        <v>0.77201589371054735</v>
      </c>
      <c r="Z248">
        <v>-3.7142700608819719</v>
      </c>
      <c r="AA248">
        <v>2.7651515151515151</v>
      </c>
      <c r="AB248">
        <v>0.51947992654855957</v>
      </c>
    </row>
    <row r="249" spans="1:28" x14ac:dyDescent="0.25">
      <c r="A249">
        <v>16</v>
      </c>
      <c r="B249">
        <v>35</v>
      </c>
      <c r="C249">
        <v>48</v>
      </c>
      <c r="D249">
        <v>2371</v>
      </c>
      <c r="E249">
        <v>76</v>
      </c>
      <c r="F249">
        <v>38</v>
      </c>
      <c r="G249">
        <v>30.389681101776659</v>
      </c>
      <c r="H249" t="s">
        <v>139</v>
      </c>
      <c r="I249" t="s">
        <v>49</v>
      </c>
      <c r="J249">
        <v>1</v>
      </c>
      <c r="K249">
        <v>225</v>
      </c>
      <c r="L249" t="s">
        <v>195</v>
      </c>
      <c r="M249">
        <v>3103</v>
      </c>
      <c r="N249">
        <v>13.60062940046191</v>
      </c>
      <c r="O249">
        <v>39.308745981194079</v>
      </c>
      <c r="P249">
        <v>7.5202354397624731</v>
      </c>
      <c r="Q249">
        <v>43.608050146140158</v>
      </c>
      <c r="R249">
        <v>5</v>
      </c>
      <c r="S249" t="s">
        <v>196</v>
      </c>
      <c r="T249">
        <v>2014</v>
      </c>
      <c r="U249" s="1">
        <v>45901.600802198707</v>
      </c>
      <c r="V249" t="s">
        <v>32</v>
      </c>
      <c r="W249" t="s">
        <v>33</v>
      </c>
      <c r="X249">
        <v>1.22110229675004</v>
      </c>
      <c r="Y249">
        <v>1.2504244408730709</v>
      </c>
      <c r="Z249">
        <v>8.6912540188059211</v>
      </c>
      <c r="AA249">
        <v>6.5259426361585566</v>
      </c>
      <c r="AB249">
        <v>1.140118317211559</v>
      </c>
    </row>
    <row r="250" spans="1:28" x14ac:dyDescent="0.25">
      <c r="A250">
        <v>18</v>
      </c>
      <c r="B250">
        <v>38</v>
      </c>
      <c r="C250">
        <v>43</v>
      </c>
      <c r="D250">
        <v>2097</v>
      </c>
      <c r="E250">
        <v>95</v>
      </c>
      <c r="F250">
        <v>38</v>
      </c>
      <c r="G250">
        <v>31.432101871818301</v>
      </c>
      <c r="H250" t="s">
        <v>197</v>
      </c>
      <c r="I250" t="s">
        <v>29</v>
      </c>
      <c r="J250">
        <v>0</v>
      </c>
      <c r="K250">
        <v>187</v>
      </c>
      <c r="L250" t="s">
        <v>198</v>
      </c>
      <c r="M250">
        <v>3374</v>
      </c>
      <c r="N250">
        <v>17.61194877512753</v>
      </c>
      <c r="O250">
        <v>35.891769971698523</v>
      </c>
      <c r="P250">
        <v>19.756728649139401</v>
      </c>
      <c r="Q250">
        <v>54.753583714365959</v>
      </c>
      <c r="R250">
        <v>4</v>
      </c>
      <c r="S250" t="s">
        <v>196</v>
      </c>
      <c r="T250">
        <v>2014</v>
      </c>
      <c r="U250" s="1">
        <v>45901.600802198707</v>
      </c>
      <c r="V250" t="s">
        <v>32</v>
      </c>
      <c r="W250" t="s">
        <v>33</v>
      </c>
      <c r="X250">
        <v>1.198046238285448</v>
      </c>
      <c r="Y250">
        <v>1.2089551044014151</v>
      </c>
      <c r="Z250">
        <v>7.1082300283014774</v>
      </c>
      <c r="AA250">
        <v>4.9881446354475401</v>
      </c>
      <c r="AB250">
        <v>0.95739753925692561</v>
      </c>
    </row>
    <row r="251" spans="1:28" x14ac:dyDescent="0.25">
      <c r="A251">
        <v>7</v>
      </c>
      <c r="B251">
        <v>33</v>
      </c>
      <c r="C251">
        <v>22</v>
      </c>
      <c r="D251">
        <v>2099</v>
      </c>
      <c r="E251">
        <v>52</v>
      </c>
      <c r="F251">
        <v>21</v>
      </c>
      <c r="G251">
        <v>21.978335231542591</v>
      </c>
      <c r="H251" t="s">
        <v>199</v>
      </c>
      <c r="I251" t="s">
        <v>29</v>
      </c>
      <c r="J251">
        <v>0</v>
      </c>
      <c r="K251">
        <v>95</v>
      </c>
      <c r="L251" t="s">
        <v>198</v>
      </c>
      <c r="M251">
        <v>2573</v>
      </c>
      <c r="N251">
        <v>8.2615385521203279</v>
      </c>
      <c r="O251">
        <v>22.721615165472031</v>
      </c>
      <c r="P251">
        <v>11.67839819192886</v>
      </c>
      <c r="Q251">
        <v>36.888215091079473</v>
      </c>
      <c r="R251">
        <v>6</v>
      </c>
      <c r="S251" t="s">
        <v>196</v>
      </c>
      <c r="T251">
        <v>2014</v>
      </c>
      <c r="U251" s="1">
        <v>45901.600802198707</v>
      </c>
      <c r="V251" t="s">
        <v>32</v>
      </c>
      <c r="W251" t="s">
        <v>33</v>
      </c>
      <c r="X251">
        <v>0.96824102687168989</v>
      </c>
      <c r="Y251">
        <v>0.95548638141898423</v>
      </c>
      <c r="Z251">
        <v>-0.72161516547203064</v>
      </c>
      <c r="AA251">
        <v>3.322969296541002</v>
      </c>
      <c r="AB251">
        <v>0.79477083750193656</v>
      </c>
    </row>
    <row r="252" spans="1:28" x14ac:dyDescent="0.25">
      <c r="A252">
        <v>1</v>
      </c>
      <c r="B252">
        <v>37</v>
      </c>
      <c r="C252">
        <v>22</v>
      </c>
      <c r="D252">
        <v>2270</v>
      </c>
      <c r="E252">
        <v>23</v>
      </c>
      <c r="F252">
        <v>22</v>
      </c>
      <c r="G252">
        <v>14.70965911448002</v>
      </c>
      <c r="H252" t="s">
        <v>200</v>
      </c>
      <c r="I252" t="s">
        <v>35</v>
      </c>
      <c r="J252">
        <v>0</v>
      </c>
      <c r="K252">
        <v>78</v>
      </c>
      <c r="L252" t="s">
        <v>201</v>
      </c>
      <c r="M252">
        <v>2490</v>
      </c>
      <c r="N252">
        <v>2.6077212067320938</v>
      </c>
      <c r="O252">
        <v>14.70965911448002</v>
      </c>
      <c r="P252">
        <v>4.5515648014843464</v>
      </c>
      <c r="Q252">
        <v>18.479457587003711</v>
      </c>
      <c r="R252">
        <v>6</v>
      </c>
      <c r="S252" t="s">
        <v>196</v>
      </c>
      <c r="T252">
        <v>2014</v>
      </c>
      <c r="U252" s="1">
        <v>45901.600802198707</v>
      </c>
      <c r="V252" t="s">
        <v>32</v>
      </c>
      <c r="W252" t="s">
        <v>33</v>
      </c>
      <c r="X252">
        <v>1.4956158962476189</v>
      </c>
      <c r="Y252">
        <v>1.4956158962476189</v>
      </c>
      <c r="Z252">
        <v>7.2903408855199796</v>
      </c>
      <c r="AA252">
        <v>2.8192771084337349</v>
      </c>
      <c r="AB252">
        <v>0.53167442582457913</v>
      </c>
    </row>
    <row r="253" spans="1:28" x14ac:dyDescent="0.25">
      <c r="A253">
        <v>6</v>
      </c>
      <c r="B253">
        <v>37</v>
      </c>
      <c r="C253">
        <v>20</v>
      </c>
      <c r="D253">
        <v>1125</v>
      </c>
      <c r="E253">
        <v>31</v>
      </c>
      <c r="F253">
        <v>14</v>
      </c>
      <c r="G253">
        <v>13.33366437535733</v>
      </c>
      <c r="H253" t="s">
        <v>202</v>
      </c>
      <c r="I253" t="s">
        <v>29</v>
      </c>
      <c r="J253">
        <v>0</v>
      </c>
      <c r="K253">
        <v>69</v>
      </c>
      <c r="L253" t="s">
        <v>203</v>
      </c>
      <c r="M253">
        <v>2581</v>
      </c>
      <c r="N253">
        <v>4.7282158508896828</v>
      </c>
      <c r="O253">
        <v>19.279247841797769</v>
      </c>
      <c r="P253">
        <v>2.6682418268173929</v>
      </c>
      <c r="Q253">
        <v>16.086345951072872</v>
      </c>
      <c r="R253">
        <v>4</v>
      </c>
      <c r="S253" t="s">
        <v>196</v>
      </c>
      <c r="T253">
        <v>2014</v>
      </c>
      <c r="U253" s="1">
        <v>45901.600802198707</v>
      </c>
      <c r="V253" t="s">
        <v>32</v>
      </c>
      <c r="W253" t="s">
        <v>33</v>
      </c>
      <c r="X253">
        <v>1.0373848691669201</v>
      </c>
      <c r="Y253">
        <v>1.0499739310878531</v>
      </c>
      <c r="Z253">
        <v>0.72075215820223093</v>
      </c>
      <c r="AA253">
        <v>2.4060441689267731</v>
      </c>
      <c r="AB253">
        <v>0.67227133117466065</v>
      </c>
    </row>
    <row r="254" spans="1:28" x14ac:dyDescent="0.25">
      <c r="A254">
        <v>4</v>
      </c>
      <c r="B254">
        <v>31</v>
      </c>
      <c r="C254">
        <v>18</v>
      </c>
      <c r="D254">
        <v>2410</v>
      </c>
      <c r="E254">
        <v>17</v>
      </c>
      <c r="F254">
        <v>13</v>
      </c>
      <c r="G254">
        <v>12.98045638017356</v>
      </c>
      <c r="H254" t="s">
        <v>204</v>
      </c>
      <c r="I254" t="s">
        <v>29</v>
      </c>
      <c r="J254">
        <v>0</v>
      </c>
      <c r="K254">
        <v>88</v>
      </c>
      <c r="L254" t="s">
        <v>205</v>
      </c>
      <c r="M254">
        <v>2586</v>
      </c>
      <c r="N254">
        <v>4.4467538595199594</v>
      </c>
      <c r="O254">
        <v>16.696466473862529</v>
      </c>
      <c r="P254">
        <v>0.9233690993860364</v>
      </c>
      <c r="Q254">
        <v>15.038962718099359</v>
      </c>
      <c r="R254">
        <v>12</v>
      </c>
      <c r="S254" t="s">
        <v>196</v>
      </c>
      <c r="T254">
        <v>2014</v>
      </c>
      <c r="U254" s="1">
        <v>45901.600802198707</v>
      </c>
      <c r="V254" t="s">
        <v>32</v>
      </c>
      <c r="W254" t="s">
        <v>33</v>
      </c>
      <c r="X254">
        <v>1.078072418986262</v>
      </c>
      <c r="Y254">
        <v>1.001505618851452</v>
      </c>
      <c r="Z254">
        <v>1.303533526137471</v>
      </c>
      <c r="AA254">
        <v>3.0626450116009281</v>
      </c>
      <c r="AB254">
        <v>0.5810835199720138</v>
      </c>
    </row>
    <row r="255" spans="1:28" x14ac:dyDescent="0.25">
      <c r="A255">
        <v>4</v>
      </c>
      <c r="B255">
        <v>36</v>
      </c>
      <c r="C255">
        <v>17</v>
      </c>
      <c r="D255">
        <v>4119</v>
      </c>
      <c r="E255">
        <v>27</v>
      </c>
      <c r="F255">
        <v>15</v>
      </c>
      <c r="G255">
        <v>12.286879865452651</v>
      </c>
      <c r="H255" t="s">
        <v>206</v>
      </c>
      <c r="I255" t="s">
        <v>35</v>
      </c>
      <c r="J255">
        <v>0</v>
      </c>
      <c r="K255">
        <v>94</v>
      </c>
      <c r="L255" t="s">
        <v>207</v>
      </c>
      <c r="M255">
        <v>2897</v>
      </c>
      <c r="N255">
        <v>2.5170663259923458</v>
      </c>
      <c r="O255">
        <v>14.51671325229108</v>
      </c>
      <c r="P255">
        <v>4.204859122633934</v>
      </c>
      <c r="Q255">
        <v>17.154036816209551</v>
      </c>
      <c r="R255">
        <v>4</v>
      </c>
      <c r="S255" t="s">
        <v>196</v>
      </c>
      <c r="T255">
        <v>2014</v>
      </c>
      <c r="U255" s="1">
        <v>45901.600802198707</v>
      </c>
      <c r="V255" t="s">
        <v>32</v>
      </c>
      <c r="W255" t="s">
        <v>33</v>
      </c>
      <c r="X255">
        <v>1.1710639801552181</v>
      </c>
      <c r="Y255">
        <v>1.220814410514089</v>
      </c>
      <c r="Z255">
        <v>2.4832867477089171</v>
      </c>
      <c r="AA255">
        <v>2.920262340352088</v>
      </c>
      <c r="AB255">
        <v>0.45098522357825249</v>
      </c>
    </row>
    <row r="256" spans="1:28" x14ac:dyDescent="0.25">
      <c r="A256">
        <v>14</v>
      </c>
      <c r="B256">
        <v>27</v>
      </c>
      <c r="C256">
        <v>16</v>
      </c>
      <c r="D256">
        <v>2098</v>
      </c>
      <c r="E256">
        <v>60</v>
      </c>
      <c r="F256">
        <v>16</v>
      </c>
      <c r="G256">
        <v>14.542303636670111</v>
      </c>
      <c r="H256" t="s">
        <v>208</v>
      </c>
      <c r="I256" t="s">
        <v>29</v>
      </c>
      <c r="J256">
        <v>0</v>
      </c>
      <c r="K256">
        <v>75</v>
      </c>
      <c r="L256" t="s">
        <v>198</v>
      </c>
      <c r="M256">
        <v>2182</v>
      </c>
      <c r="N256">
        <v>13.52065051905811</v>
      </c>
      <c r="O256">
        <v>14.542303636670111</v>
      </c>
      <c r="P256">
        <v>6.2150083305314183</v>
      </c>
      <c r="Q256">
        <v>28.306167721748348</v>
      </c>
      <c r="R256">
        <v>4</v>
      </c>
      <c r="S256" t="s">
        <v>196</v>
      </c>
      <c r="T256">
        <v>2014</v>
      </c>
      <c r="U256" s="1">
        <v>45901.600802198707</v>
      </c>
      <c r="V256" t="s">
        <v>32</v>
      </c>
      <c r="W256" t="s">
        <v>33</v>
      </c>
      <c r="X256">
        <v>1.100238339107027</v>
      </c>
      <c r="Y256">
        <v>1.100238339107027</v>
      </c>
      <c r="Z256">
        <v>1.4576963633298869</v>
      </c>
      <c r="AA256">
        <v>3.0934922089825849</v>
      </c>
      <c r="AB256">
        <v>0.59982004000930811</v>
      </c>
    </row>
    <row r="257" spans="1:28" x14ac:dyDescent="0.25">
      <c r="A257">
        <v>10</v>
      </c>
      <c r="B257">
        <v>29</v>
      </c>
      <c r="C257">
        <v>15</v>
      </c>
      <c r="D257">
        <v>2370</v>
      </c>
      <c r="E257">
        <v>45</v>
      </c>
      <c r="F257">
        <v>15</v>
      </c>
      <c r="G257">
        <v>12.412422547116879</v>
      </c>
      <c r="H257" t="s">
        <v>209</v>
      </c>
      <c r="I257" t="s">
        <v>32</v>
      </c>
      <c r="J257">
        <v>0</v>
      </c>
      <c r="K257">
        <v>69</v>
      </c>
      <c r="L257" t="s">
        <v>195</v>
      </c>
      <c r="M257">
        <v>2325</v>
      </c>
      <c r="N257">
        <v>7.8894331222400069</v>
      </c>
      <c r="O257">
        <v>12.412422547116879</v>
      </c>
      <c r="P257">
        <v>11.03737356513739</v>
      </c>
      <c r="Q257">
        <v>27.088972508907322</v>
      </c>
      <c r="R257">
        <v>1</v>
      </c>
      <c r="S257" t="s">
        <v>196</v>
      </c>
      <c r="T257">
        <v>2014</v>
      </c>
      <c r="U257" s="1">
        <v>45901.600802198707</v>
      </c>
      <c r="V257" t="s">
        <v>32</v>
      </c>
      <c r="W257" t="s">
        <v>33</v>
      </c>
      <c r="X257">
        <v>1.208466755225325</v>
      </c>
      <c r="Y257">
        <v>1.208466755225325</v>
      </c>
      <c r="Z257">
        <v>2.5875774528831239</v>
      </c>
      <c r="AA257">
        <v>2.6709677419354838</v>
      </c>
      <c r="AB257">
        <v>0.48048087279162099</v>
      </c>
    </row>
    <row r="258" spans="1:28" x14ac:dyDescent="0.25">
      <c r="A258">
        <v>7</v>
      </c>
      <c r="B258">
        <v>34</v>
      </c>
      <c r="C258">
        <v>14</v>
      </c>
      <c r="D258">
        <v>2480</v>
      </c>
      <c r="E258">
        <v>30</v>
      </c>
      <c r="F258">
        <v>14</v>
      </c>
      <c r="G258">
        <v>10.010552227497101</v>
      </c>
      <c r="H258" t="s">
        <v>210</v>
      </c>
      <c r="I258" t="s">
        <v>32</v>
      </c>
      <c r="J258">
        <v>1</v>
      </c>
      <c r="K258">
        <v>87</v>
      </c>
      <c r="L258" t="s">
        <v>211</v>
      </c>
      <c r="M258">
        <v>3024</v>
      </c>
      <c r="N258">
        <v>3.3865047628059979</v>
      </c>
      <c r="O258">
        <v>10.75383020937443</v>
      </c>
      <c r="P258">
        <v>3.5719570526853199</v>
      </c>
      <c r="Q258">
        <v>14.282631981186571</v>
      </c>
      <c r="R258">
        <v>10</v>
      </c>
      <c r="S258" t="s">
        <v>196</v>
      </c>
      <c r="T258">
        <v>2014</v>
      </c>
      <c r="U258" s="1">
        <v>45901.600802198707</v>
      </c>
      <c r="V258" t="s">
        <v>32</v>
      </c>
      <c r="W258" t="s">
        <v>33</v>
      </c>
      <c r="X258">
        <v>1.3018617299532771</v>
      </c>
      <c r="Y258">
        <v>1.398524245400232</v>
      </c>
      <c r="Z258">
        <v>3.2461697906255722</v>
      </c>
      <c r="AA258">
        <v>2.589285714285714</v>
      </c>
      <c r="AB258">
        <v>0.32005447051709612</v>
      </c>
    </row>
    <row r="259" spans="1:28" x14ac:dyDescent="0.25">
      <c r="A259">
        <v>9</v>
      </c>
      <c r="B259">
        <v>35</v>
      </c>
      <c r="C259">
        <v>14</v>
      </c>
      <c r="D259">
        <v>4060</v>
      </c>
      <c r="E259">
        <v>52</v>
      </c>
      <c r="F259">
        <v>12</v>
      </c>
      <c r="G259">
        <v>8.7843361683189869</v>
      </c>
      <c r="H259" t="s">
        <v>212</v>
      </c>
      <c r="I259" t="s">
        <v>35</v>
      </c>
      <c r="J259">
        <v>0</v>
      </c>
      <c r="K259">
        <v>80</v>
      </c>
      <c r="L259" t="s">
        <v>213</v>
      </c>
      <c r="M259">
        <v>3030</v>
      </c>
      <c r="N259">
        <v>8.1307136211544275</v>
      </c>
      <c r="O259">
        <v>10.270765174180269</v>
      </c>
      <c r="P259">
        <v>4.55759222432971</v>
      </c>
      <c r="Q259">
        <v>17.210234811529521</v>
      </c>
      <c r="R259">
        <v>9</v>
      </c>
      <c r="S259" t="s">
        <v>196</v>
      </c>
      <c r="T259">
        <v>2014</v>
      </c>
      <c r="U259" s="1">
        <v>45901.600802198707</v>
      </c>
      <c r="V259" t="s">
        <v>32</v>
      </c>
      <c r="W259" t="s">
        <v>33</v>
      </c>
      <c r="X259">
        <v>1.363092210032673</v>
      </c>
      <c r="Y259">
        <v>1.3660679384377861</v>
      </c>
      <c r="Z259">
        <v>3.7292348258197312</v>
      </c>
      <c r="AA259">
        <v>2.3762376237623761</v>
      </c>
      <c r="AB259">
        <v>0.30507223289644358</v>
      </c>
    </row>
    <row r="260" spans="1:28" x14ac:dyDescent="0.25">
      <c r="A260">
        <v>13</v>
      </c>
      <c r="B260">
        <v>36</v>
      </c>
      <c r="C260">
        <v>13</v>
      </c>
      <c r="D260">
        <v>1732</v>
      </c>
      <c r="E260">
        <v>96</v>
      </c>
      <c r="F260">
        <v>10</v>
      </c>
      <c r="G260">
        <v>8.0674648880958557</v>
      </c>
      <c r="H260" t="s">
        <v>214</v>
      </c>
      <c r="I260" t="s">
        <v>35</v>
      </c>
      <c r="J260">
        <v>0</v>
      </c>
      <c r="K260">
        <v>105</v>
      </c>
      <c r="L260" t="s">
        <v>215</v>
      </c>
      <c r="M260">
        <v>2970</v>
      </c>
      <c r="N260">
        <v>14.72691248357296</v>
      </c>
      <c r="O260">
        <v>11.04058197140694</v>
      </c>
      <c r="P260">
        <v>9.8637980185449123</v>
      </c>
      <c r="Q260">
        <v>26.532404277473692</v>
      </c>
      <c r="R260">
        <v>11</v>
      </c>
      <c r="S260" t="s">
        <v>196</v>
      </c>
      <c r="T260">
        <v>2014</v>
      </c>
      <c r="U260" s="1">
        <v>45901.600802198707</v>
      </c>
      <c r="V260" t="s">
        <v>32</v>
      </c>
      <c r="W260" t="s">
        <v>33</v>
      </c>
      <c r="X260">
        <v>1.177474161567533</v>
      </c>
      <c r="Y260">
        <v>1.2395467645301741</v>
      </c>
      <c r="Z260">
        <v>1.9594180285930629</v>
      </c>
      <c r="AA260">
        <v>3.1818181818181821</v>
      </c>
      <c r="AB260">
        <v>0.3345630900426344</v>
      </c>
    </row>
    <row r="261" spans="1:28" x14ac:dyDescent="0.25">
      <c r="A261">
        <v>13</v>
      </c>
      <c r="B261">
        <v>29</v>
      </c>
      <c r="C261">
        <v>13</v>
      </c>
      <c r="D261">
        <v>2249</v>
      </c>
      <c r="E261">
        <v>77</v>
      </c>
      <c r="F261">
        <v>13</v>
      </c>
      <c r="G261">
        <v>5.5192796383053064</v>
      </c>
      <c r="H261" t="s">
        <v>216</v>
      </c>
      <c r="I261" t="s">
        <v>49</v>
      </c>
      <c r="J261">
        <v>0</v>
      </c>
      <c r="K261">
        <v>53</v>
      </c>
      <c r="L261" t="s">
        <v>195</v>
      </c>
      <c r="M261">
        <v>2299</v>
      </c>
      <c r="N261">
        <v>9.4121569581329823</v>
      </c>
      <c r="O261">
        <v>5.5192796383053064</v>
      </c>
      <c r="P261">
        <v>14.5191553235054</v>
      </c>
      <c r="Q261">
        <v>23.724572151899341</v>
      </c>
      <c r="R261">
        <v>5</v>
      </c>
      <c r="S261" t="s">
        <v>196</v>
      </c>
      <c r="T261">
        <v>2014</v>
      </c>
      <c r="U261" s="1">
        <v>45901.600802198707</v>
      </c>
      <c r="V261" t="s">
        <v>32</v>
      </c>
      <c r="W261" t="s">
        <v>33</v>
      </c>
      <c r="X261">
        <v>2.355379841560564</v>
      </c>
      <c r="Y261">
        <v>2.355379841560564</v>
      </c>
      <c r="Z261">
        <v>7.4807203616946936</v>
      </c>
      <c r="AA261">
        <v>2.0748151370160941</v>
      </c>
      <c r="AB261">
        <v>0.21606575356567101</v>
      </c>
    </row>
    <row r="262" spans="1:28" x14ac:dyDescent="0.25">
      <c r="A262">
        <v>9</v>
      </c>
      <c r="B262">
        <v>31</v>
      </c>
      <c r="C262">
        <v>13</v>
      </c>
      <c r="D262">
        <v>2251</v>
      </c>
      <c r="E262">
        <v>51</v>
      </c>
      <c r="F262">
        <v>12</v>
      </c>
      <c r="G262">
        <v>13.358536539599299</v>
      </c>
      <c r="H262" t="s">
        <v>217</v>
      </c>
      <c r="I262" t="s">
        <v>35</v>
      </c>
      <c r="J262">
        <v>0</v>
      </c>
      <c r="K262">
        <v>103</v>
      </c>
      <c r="L262" t="s">
        <v>195</v>
      </c>
      <c r="M262">
        <v>2585</v>
      </c>
      <c r="N262">
        <v>8.7471563294529915</v>
      </c>
      <c r="O262">
        <v>14.10181352309883</v>
      </c>
      <c r="P262">
        <v>9.5040976302698237</v>
      </c>
      <c r="Q262">
        <v>25.9719533296302</v>
      </c>
      <c r="R262">
        <v>2</v>
      </c>
      <c r="S262" t="s">
        <v>196</v>
      </c>
      <c r="T262">
        <v>2014</v>
      </c>
      <c r="U262" s="1">
        <v>45901.600802198707</v>
      </c>
      <c r="V262" t="s">
        <v>32</v>
      </c>
      <c r="W262" t="s">
        <v>33</v>
      </c>
      <c r="X262">
        <v>0.92186724627339234</v>
      </c>
      <c r="Y262">
        <v>0.89830199321818449</v>
      </c>
      <c r="Z262">
        <v>-1.101813523098826</v>
      </c>
      <c r="AA262">
        <v>3.5860735009671179</v>
      </c>
      <c r="AB262">
        <v>0.49097223097829568</v>
      </c>
    </row>
    <row r="263" spans="1:28" x14ac:dyDescent="0.25">
      <c r="A263">
        <v>5</v>
      </c>
      <c r="B263">
        <v>28</v>
      </c>
      <c r="C263">
        <v>12</v>
      </c>
      <c r="D263">
        <v>1295</v>
      </c>
      <c r="E263">
        <v>23</v>
      </c>
      <c r="F263">
        <v>9</v>
      </c>
      <c r="G263">
        <v>9.6787422262132168</v>
      </c>
      <c r="H263" t="s">
        <v>218</v>
      </c>
      <c r="I263" t="s">
        <v>29</v>
      </c>
      <c r="J263">
        <v>0</v>
      </c>
      <c r="K263">
        <v>55</v>
      </c>
      <c r="L263" t="s">
        <v>201</v>
      </c>
      <c r="M263">
        <v>1948</v>
      </c>
      <c r="N263">
        <v>3.6252304455265398</v>
      </c>
      <c r="O263">
        <v>11.90857626125216</v>
      </c>
      <c r="P263">
        <v>1.637114098295569</v>
      </c>
      <c r="Q263">
        <v>9.3232887573540193</v>
      </c>
      <c r="R263">
        <v>10</v>
      </c>
      <c r="S263" t="s">
        <v>196</v>
      </c>
      <c r="T263">
        <v>2014</v>
      </c>
      <c r="U263" s="1">
        <v>45901.600802198707</v>
      </c>
      <c r="V263" t="s">
        <v>32</v>
      </c>
      <c r="W263" t="s">
        <v>33</v>
      </c>
      <c r="X263">
        <v>1.007677134255361</v>
      </c>
      <c r="Y263">
        <v>0.92987288943650559</v>
      </c>
      <c r="Z263">
        <v>9.1423738747835159E-2</v>
      </c>
      <c r="AA263">
        <v>2.541067761806981</v>
      </c>
      <c r="AB263">
        <v>0.55019089502705076</v>
      </c>
    </row>
    <row r="264" spans="1:28" x14ac:dyDescent="0.25">
      <c r="A264">
        <v>0</v>
      </c>
      <c r="B264">
        <v>37</v>
      </c>
      <c r="C264">
        <v>12</v>
      </c>
      <c r="D264">
        <v>1709</v>
      </c>
      <c r="E264">
        <v>8</v>
      </c>
      <c r="F264">
        <v>10</v>
      </c>
      <c r="G264">
        <v>8.5222850050777197</v>
      </c>
      <c r="H264" t="s">
        <v>219</v>
      </c>
      <c r="I264" t="s">
        <v>35</v>
      </c>
      <c r="J264">
        <v>1</v>
      </c>
      <c r="K264">
        <v>45</v>
      </c>
      <c r="L264" t="s">
        <v>213</v>
      </c>
      <c r="M264">
        <v>1739</v>
      </c>
      <c r="N264">
        <v>0.85133159533143044</v>
      </c>
      <c r="O264">
        <v>10.0088400002569</v>
      </c>
      <c r="P264">
        <v>0.68060130532830954</v>
      </c>
      <c r="Q264">
        <v>8.9954071464017034</v>
      </c>
      <c r="R264">
        <v>4</v>
      </c>
      <c r="S264" t="s">
        <v>196</v>
      </c>
      <c r="T264">
        <v>2014</v>
      </c>
      <c r="U264" s="1">
        <v>45901.600802198707</v>
      </c>
      <c r="V264" t="s">
        <v>32</v>
      </c>
      <c r="W264" t="s">
        <v>33</v>
      </c>
      <c r="X264">
        <v>1.19894013688819</v>
      </c>
      <c r="Y264">
        <v>1.173394223971838</v>
      </c>
      <c r="Z264">
        <v>1.991159999743104</v>
      </c>
      <c r="AA264">
        <v>2.3289246693502008</v>
      </c>
      <c r="AB264">
        <v>0.51799631973727467</v>
      </c>
    </row>
    <row r="265" spans="1:28" x14ac:dyDescent="0.25">
      <c r="A265">
        <v>2</v>
      </c>
      <c r="B265">
        <v>32</v>
      </c>
      <c r="C265">
        <v>12</v>
      </c>
      <c r="D265">
        <v>2274</v>
      </c>
      <c r="E265">
        <v>23</v>
      </c>
      <c r="F265">
        <v>12</v>
      </c>
      <c r="G265">
        <v>11.41036032512784</v>
      </c>
      <c r="H265" t="s">
        <v>220</v>
      </c>
      <c r="I265" t="s">
        <v>29</v>
      </c>
      <c r="J265">
        <v>0</v>
      </c>
      <c r="K265">
        <v>78</v>
      </c>
      <c r="L265" t="s">
        <v>221</v>
      </c>
      <c r="M265">
        <v>1886</v>
      </c>
      <c r="N265">
        <v>2.5598079338669781</v>
      </c>
      <c r="O265">
        <v>11.41036032512784</v>
      </c>
      <c r="P265">
        <v>4.9732045331038526</v>
      </c>
      <c r="Q265">
        <v>16.552209574729201</v>
      </c>
      <c r="R265">
        <v>5</v>
      </c>
      <c r="S265" t="s">
        <v>196</v>
      </c>
      <c r="T265">
        <v>2014</v>
      </c>
      <c r="U265" s="1">
        <v>45901.600802198707</v>
      </c>
      <c r="V265" t="s">
        <v>32</v>
      </c>
      <c r="W265" t="s">
        <v>33</v>
      </c>
      <c r="X265">
        <v>1.0516758154931929</v>
      </c>
      <c r="Y265">
        <v>1.0516758154931929</v>
      </c>
      <c r="Z265">
        <v>0.58963967487215996</v>
      </c>
      <c r="AA265">
        <v>3.7221633085896082</v>
      </c>
      <c r="AB265">
        <v>0.54450287871765934</v>
      </c>
    </row>
    <row r="266" spans="1:28" x14ac:dyDescent="0.25">
      <c r="A266">
        <v>0</v>
      </c>
      <c r="B266">
        <v>35</v>
      </c>
      <c r="C266">
        <v>11</v>
      </c>
      <c r="D266">
        <v>2087</v>
      </c>
      <c r="E266">
        <v>14</v>
      </c>
      <c r="F266">
        <v>9</v>
      </c>
      <c r="G266">
        <v>8.6722412351518869</v>
      </c>
      <c r="H266" t="s">
        <v>222</v>
      </c>
      <c r="I266" t="s">
        <v>35</v>
      </c>
      <c r="J266">
        <v>0</v>
      </c>
      <c r="K266">
        <v>74</v>
      </c>
      <c r="L266" t="s">
        <v>223</v>
      </c>
      <c r="M266">
        <v>2656</v>
      </c>
      <c r="N266">
        <v>0.41058419924229378</v>
      </c>
      <c r="O266">
        <v>10.15879922546446</v>
      </c>
      <c r="P266">
        <v>2.3454336631111801</v>
      </c>
      <c r="Q266">
        <v>10.45480229891837</v>
      </c>
      <c r="R266">
        <v>11</v>
      </c>
      <c r="S266" t="s">
        <v>196</v>
      </c>
      <c r="T266">
        <v>2014</v>
      </c>
      <c r="U266" s="1">
        <v>45901.600802198707</v>
      </c>
      <c r="V266" t="s">
        <v>32</v>
      </c>
      <c r="W266" t="s">
        <v>33</v>
      </c>
      <c r="X266">
        <v>1.082805138271357</v>
      </c>
      <c r="Y266">
        <v>1.037794009179493</v>
      </c>
      <c r="Z266">
        <v>0.84120077453553677</v>
      </c>
      <c r="AA266">
        <v>2.507530120481928</v>
      </c>
      <c r="AB266">
        <v>0.34423641953757589</v>
      </c>
    </row>
    <row r="267" spans="1:28" x14ac:dyDescent="0.25">
      <c r="A267">
        <v>5</v>
      </c>
      <c r="B267">
        <v>32</v>
      </c>
      <c r="C267">
        <v>11</v>
      </c>
      <c r="D267">
        <v>2380</v>
      </c>
      <c r="E267">
        <v>23</v>
      </c>
      <c r="F267">
        <v>11</v>
      </c>
      <c r="G267">
        <v>10.355727320536969</v>
      </c>
      <c r="H267" t="s">
        <v>224</v>
      </c>
      <c r="I267" t="s">
        <v>29</v>
      </c>
      <c r="J267">
        <v>1</v>
      </c>
      <c r="K267">
        <v>61</v>
      </c>
      <c r="L267" t="s">
        <v>225</v>
      </c>
      <c r="M267">
        <v>2179</v>
      </c>
      <c r="N267">
        <v>3.7486227881163359</v>
      </c>
      <c r="O267">
        <v>10.355727320536969</v>
      </c>
      <c r="P267">
        <v>1.367120698094368</v>
      </c>
      <c r="Q267">
        <v>13.77785936743021</v>
      </c>
      <c r="R267">
        <v>2</v>
      </c>
      <c r="S267" t="s">
        <v>196</v>
      </c>
      <c r="T267">
        <v>2014</v>
      </c>
      <c r="U267" s="1">
        <v>45901.600802198707</v>
      </c>
      <c r="V267" t="s">
        <v>32</v>
      </c>
      <c r="W267" t="s">
        <v>33</v>
      </c>
      <c r="X267">
        <v>1.0622141409792949</v>
      </c>
      <c r="Y267">
        <v>1.0622141409792949</v>
      </c>
      <c r="Z267">
        <v>0.64427267946302713</v>
      </c>
      <c r="AA267">
        <v>2.5195043597980731</v>
      </c>
      <c r="AB267">
        <v>0.42772623168808049</v>
      </c>
    </row>
    <row r="268" spans="1:28" x14ac:dyDescent="0.25">
      <c r="A268">
        <v>2</v>
      </c>
      <c r="B268">
        <v>35</v>
      </c>
      <c r="C268">
        <v>11</v>
      </c>
      <c r="D268">
        <v>4038</v>
      </c>
      <c r="E268">
        <v>15</v>
      </c>
      <c r="F268">
        <v>11</v>
      </c>
      <c r="G268">
        <v>12.85786127671599</v>
      </c>
      <c r="H268" t="s">
        <v>226</v>
      </c>
      <c r="I268" t="s">
        <v>29</v>
      </c>
      <c r="J268">
        <v>0</v>
      </c>
      <c r="K268">
        <v>63</v>
      </c>
      <c r="L268" t="s">
        <v>215</v>
      </c>
      <c r="M268">
        <v>2208</v>
      </c>
      <c r="N268">
        <v>1.061588289216161</v>
      </c>
      <c r="O268">
        <v>12.85786127671599</v>
      </c>
      <c r="P268">
        <v>2.9038633033633232</v>
      </c>
      <c r="Q268">
        <v>14.995860312134029</v>
      </c>
      <c r="R268">
        <v>5</v>
      </c>
      <c r="S268" t="s">
        <v>196</v>
      </c>
      <c r="T268">
        <v>2014</v>
      </c>
      <c r="U268" s="1">
        <v>45901.600802198707</v>
      </c>
      <c r="V268" t="s">
        <v>32</v>
      </c>
      <c r="W268" t="s">
        <v>33</v>
      </c>
      <c r="X268">
        <v>0.85550775228222808</v>
      </c>
      <c r="Y268">
        <v>0.85550775228222808</v>
      </c>
      <c r="Z268">
        <v>-1.8578612767159941</v>
      </c>
      <c r="AA268">
        <v>2.5679347826086949</v>
      </c>
      <c r="AB268">
        <v>0.52409760638788017</v>
      </c>
    </row>
    <row r="269" spans="1:28" x14ac:dyDescent="0.25">
      <c r="A269">
        <v>16</v>
      </c>
      <c r="B269">
        <v>35</v>
      </c>
      <c r="C269">
        <v>40</v>
      </c>
      <c r="D269">
        <v>2098</v>
      </c>
      <c r="E269">
        <v>56</v>
      </c>
      <c r="F269">
        <v>37</v>
      </c>
      <c r="G269">
        <v>32.11771584302187</v>
      </c>
      <c r="H269" t="s">
        <v>208</v>
      </c>
      <c r="I269" t="s">
        <v>32</v>
      </c>
      <c r="J269">
        <v>0</v>
      </c>
      <c r="K269">
        <v>137</v>
      </c>
      <c r="L269" t="s">
        <v>198</v>
      </c>
      <c r="M269">
        <v>3150</v>
      </c>
      <c r="N269">
        <v>13.27595966309309</v>
      </c>
      <c r="O269">
        <v>35.833725906908512</v>
      </c>
      <c r="P269">
        <v>9.1144177373498678</v>
      </c>
      <c r="Q269">
        <v>44.87191915512085</v>
      </c>
      <c r="R269">
        <v>6</v>
      </c>
      <c r="S269" t="s">
        <v>196</v>
      </c>
      <c r="T269">
        <v>2015</v>
      </c>
      <c r="U269" s="1">
        <v>45901.600802198707</v>
      </c>
      <c r="V269" t="s">
        <v>32</v>
      </c>
      <c r="W269" t="s">
        <v>69</v>
      </c>
      <c r="X269">
        <v>1.1162668404595979</v>
      </c>
      <c r="Y269">
        <v>1.1520121848278599</v>
      </c>
      <c r="Z269">
        <v>4.1662740930914879</v>
      </c>
      <c r="AA269">
        <v>3.9142857142857141</v>
      </c>
      <c r="AB269">
        <v>1.023820740197386</v>
      </c>
    </row>
    <row r="270" spans="1:28" x14ac:dyDescent="0.25">
      <c r="A270">
        <v>11</v>
      </c>
      <c r="B270">
        <v>36</v>
      </c>
      <c r="C270">
        <v>35</v>
      </c>
      <c r="D270">
        <v>2371</v>
      </c>
      <c r="E270">
        <v>51</v>
      </c>
      <c r="F270">
        <v>29</v>
      </c>
      <c r="G270">
        <v>28.89950697124004</v>
      </c>
      <c r="H270" t="s">
        <v>139</v>
      </c>
      <c r="I270" t="s">
        <v>49</v>
      </c>
      <c r="J270">
        <v>0</v>
      </c>
      <c r="K270">
        <v>227</v>
      </c>
      <c r="L270" t="s">
        <v>195</v>
      </c>
      <c r="M270">
        <v>3186</v>
      </c>
      <c r="N270">
        <v>8.6064000651240349</v>
      </c>
      <c r="O270">
        <v>35.588996052741997</v>
      </c>
      <c r="P270">
        <v>9.8630027417093515</v>
      </c>
      <c r="Q270">
        <v>40.818035200238228</v>
      </c>
      <c r="R270">
        <v>3</v>
      </c>
      <c r="S270" t="s">
        <v>196</v>
      </c>
      <c r="T270">
        <v>2015</v>
      </c>
      <c r="U270" s="1">
        <v>45901.600802198707</v>
      </c>
      <c r="V270" t="s">
        <v>32</v>
      </c>
      <c r="W270" t="s">
        <v>69</v>
      </c>
      <c r="X270">
        <v>0.98345005147464326</v>
      </c>
      <c r="Y270">
        <v>1.003477326753704</v>
      </c>
      <c r="Z270">
        <v>-0.58899605274200439</v>
      </c>
      <c r="AA270">
        <v>6.4124293785310726</v>
      </c>
      <c r="AB270">
        <v>1.005338871546384</v>
      </c>
    </row>
    <row r="271" spans="1:28" x14ac:dyDescent="0.25">
      <c r="A271">
        <v>16</v>
      </c>
      <c r="B271">
        <v>33</v>
      </c>
      <c r="C271">
        <v>26</v>
      </c>
      <c r="D271">
        <v>2097</v>
      </c>
      <c r="E271">
        <v>77</v>
      </c>
      <c r="F271">
        <v>23</v>
      </c>
      <c r="G271">
        <v>21.899361960589889</v>
      </c>
      <c r="H271" t="s">
        <v>197</v>
      </c>
      <c r="I271" t="s">
        <v>35</v>
      </c>
      <c r="J271">
        <v>0</v>
      </c>
      <c r="K271">
        <v>158</v>
      </c>
      <c r="L271" t="s">
        <v>198</v>
      </c>
      <c r="M271">
        <v>2726</v>
      </c>
      <c r="N271">
        <v>15.87126745283604</v>
      </c>
      <c r="O271">
        <v>27.10192405432463</v>
      </c>
      <c r="P271">
        <v>15.19635972939432</v>
      </c>
      <c r="Q271">
        <v>41.996870920062072</v>
      </c>
      <c r="R271">
        <v>3</v>
      </c>
      <c r="S271" t="s">
        <v>196</v>
      </c>
      <c r="T271">
        <v>2015</v>
      </c>
      <c r="U271" s="1">
        <v>45901.600802198707</v>
      </c>
      <c r="V271" t="s">
        <v>32</v>
      </c>
      <c r="W271" t="s">
        <v>69</v>
      </c>
      <c r="X271">
        <v>0.95934148246759643</v>
      </c>
      <c r="Y271">
        <v>1.0502589089760159</v>
      </c>
      <c r="Z271">
        <v>-1.1019240543246269</v>
      </c>
      <c r="AA271">
        <v>5.2164343360234771</v>
      </c>
      <c r="AB271">
        <v>0.89478105828657972</v>
      </c>
    </row>
    <row r="272" spans="1:28" x14ac:dyDescent="0.25">
      <c r="A272">
        <v>12</v>
      </c>
      <c r="B272">
        <v>34</v>
      </c>
      <c r="C272">
        <v>24</v>
      </c>
      <c r="D272">
        <v>2099</v>
      </c>
      <c r="E272">
        <v>102</v>
      </c>
      <c r="F272">
        <v>19</v>
      </c>
      <c r="G272">
        <v>22.847817689180371</v>
      </c>
      <c r="H272" t="s">
        <v>199</v>
      </c>
      <c r="I272" t="s">
        <v>49</v>
      </c>
      <c r="J272">
        <v>0</v>
      </c>
      <c r="K272">
        <v>124</v>
      </c>
      <c r="L272" t="s">
        <v>198</v>
      </c>
      <c r="M272">
        <v>3058</v>
      </c>
      <c r="N272">
        <v>18.074459761381149</v>
      </c>
      <c r="O272">
        <v>28.05050665140152</v>
      </c>
      <c r="P272">
        <v>22.224834093824029</v>
      </c>
      <c r="Q272">
        <v>52.409420877695091</v>
      </c>
      <c r="R272">
        <v>6</v>
      </c>
      <c r="S272" t="s">
        <v>196</v>
      </c>
      <c r="T272">
        <v>2015</v>
      </c>
      <c r="U272" s="1">
        <v>45901.600802198707</v>
      </c>
      <c r="V272" t="s">
        <v>32</v>
      </c>
      <c r="W272" t="s">
        <v>69</v>
      </c>
      <c r="X272">
        <v>0.85559951904829001</v>
      </c>
      <c r="Y272">
        <v>0.83158926854521809</v>
      </c>
      <c r="Z272">
        <v>-4.0505066514015198</v>
      </c>
      <c r="AA272">
        <v>3.6494440810987578</v>
      </c>
      <c r="AB272">
        <v>0.82555447960305317</v>
      </c>
    </row>
    <row r="273" spans="1:28" x14ac:dyDescent="0.25">
      <c r="A273">
        <v>7</v>
      </c>
      <c r="B273">
        <v>27</v>
      </c>
      <c r="C273">
        <v>24</v>
      </c>
      <c r="D273">
        <v>2370</v>
      </c>
      <c r="E273">
        <v>42</v>
      </c>
      <c r="F273">
        <v>24</v>
      </c>
      <c r="G273">
        <v>20.729392096400261</v>
      </c>
      <c r="H273" t="s">
        <v>209</v>
      </c>
      <c r="I273" t="s">
        <v>29</v>
      </c>
      <c r="J273">
        <v>0</v>
      </c>
      <c r="K273">
        <v>98</v>
      </c>
      <c r="L273" t="s">
        <v>195</v>
      </c>
      <c r="M273">
        <v>2001</v>
      </c>
      <c r="N273">
        <v>5.572382178157568</v>
      </c>
      <c r="O273">
        <v>20.729392096400261</v>
      </c>
      <c r="P273">
        <v>5.697657959535718</v>
      </c>
      <c r="Q273">
        <v>27.38717603683472</v>
      </c>
      <c r="R273">
        <v>1</v>
      </c>
      <c r="S273" t="s">
        <v>196</v>
      </c>
      <c r="T273">
        <v>2015</v>
      </c>
      <c r="U273" s="1">
        <v>45901.600802198707</v>
      </c>
      <c r="V273" t="s">
        <v>32</v>
      </c>
      <c r="W273" t="s">
        <v>69</v>
      </c>
      <c r="X273">
        <v>1.1577763539031951</v>
      </c>
      <c r="Y273">
        <v>1.1577763539031951</v>
      </c>
      <c r="Z273">
        <v>3.2706079035997391</v>
      </c>
      <c r="AA273">
        <v>4.4077961019490246</v>
      </c>
      <c r="AB273">
        <v>0.93235646610495926</v>
      </c>
    </row>
    <row r="274" spans="1:28" x14ac:dyDescent="0.25">
      <c r="A274">
        <v>5</v>
      </c>
      <c r="B274">
        <v>38</v>
      </c>
      <c r="C274">
        <v>22</v>
      </c>
      <c r="D274">
        <v>2270</v>
      </c>
      <c r="E274">
        <v>53</v>
      </c>
      <c r="F274">
        <v>21</v>
      </c>
      <c r="G274">
        <v>14.55710094235838</v>
      </c>
      <c r="H274" t="s">
        <v>200</v>
      </c>
      <c r="I274" t="s">
        <v>35</v>
      </c>
      <c r="J274">
        <v>0</v>
      </c>
      <c r="K274">
        <v>92</v>
      </c>
      <c r="L274" t="s">
        <v>201</v>
      </c>
      <c r="M274">
        <v>3066</v>
      </c>
      <c r="N274">
        <v>6.4809743948280811</v>
      </c>
      <c r="O274">
        <v>16.043526930734519</v>
      </c>
      <c r="P274">
        <v>5.7390029560774556</v>
      </c>
      <c r="Q274">
        <v>22.915721956640478</v>
      </c>
      <c r="R274">
        <v>5</v>
      </c>
      <c r="S274" t="s">
        <v>196</v>
      </c>
      <c r="T274">
        <v>2015</v>
      </c>
      <c r="U274" s="1">
        <v>45901.600802198707</v>
      </c>
      <c r="V274" t="s">
        <v>32</v>
      </c>
      <c r="W274" t="s">
        <v>69</v>
      </c>
      <c r="X274">
        <v>1.3712695528222469</v>
      </c>
      <c r="Y274">
        <v>1.442594928973393</v>
      </c>
      <c r="Z274">
        <v>5.9564730692654848</v>
      </c>
      <c r="AA274">
        <v>2.7005870841487281</v>
      </c>
      <c r="AB274">
        <v>0.47094501753623819</v>
      </c>
    </row>
    <row r="275" spans="1:28" x14ac:dyDescent="0.25">
      <c r="A275">
        <v>6</v>
      </c>
      <c r="B275">
        <v>34</v>
      </c>
      <c r="C275">
        <v>20</v>
      </c>
      <c r="D275">
        <v>2410</v>
      </c>
      <c r="E275">
        <v>33</v>
      </c>
      <c r="F275">
        <v>17</v>
      </c>
      <c r="G275">
        <v>17.005178146064281</v>
      </c>
      <c r="H275" t="s">
        <v>204</v>
      </c>
      <c r="I275" t="s">
        <v>29</v>
      </c>
      <c r="J275">
        <v>0</v>
      </c>
      <c r="K275">
        <v>93</v>
      </c>
      <c r="L275" t="s">
        <v>205</v>
      </c>
      <c r="M275">
        <v>2777</v>
      </c>
      <c r="N275">
        <v>4.2214429024606943</v>
      </c>
      <c r="O275">
        <v>20.721575282514092</v>
      </c>
      <c r="P275">
        <v>2.527868010103703</v>
      </c>
      <c r="Q275">
        <v>18.2298390865326</v>
      </c>
      <c r="R275">
        <v>9</v>
      </c>
      <c r="S275" t="s">
        <v>196</v>
      </c>
      <c r="T275">
        <v>2015</v>
      </c>
      <c r="U275" s="1">
        <v>45901.600802198707</v>
      </c>
      <c r="V275" t="s">
        <v>32</v>
      </c>
      <c r="W275" t="s">
        <v>69</v>
      </c>
      <c r="X275">
        <v>0.96517758555147137</v>
      </c>
      <c r="Y275">
        <v>0.99969549592366491</v>
      </c>
      <c r="Z275">
        <v>-0.72157528251409175</v>
      </c>
      <c r="AA275">
        <v>3.0140439323010439</v>
      </c>
      <c r="AB275">
        <v>0.67156707793527848</v>
      </c>
    </row>
    <row r="276" spans="1:28" x14ac:dyDescent="0.25">
      <c r="A276">
        <v>4</v>
      </c>
      <c r="B276">
        <v>38</v>
      </c>
      <c r="C276">
        <v>19</v>
      </c>
      <c r="D276">
        <v>2150</v>
      </c>
      <c r="E276">
        <v>31</v>
      </c>
      <c r="F276">
        <v>16</v>
      </c>
      <c r="G276">
        <v>15.25219193659723</v>
      </c>
      <c r="H276" t="s">
        <v>227</v>
      </c>
      <c r="I276" t="s">
        <v>32</v>
      </c>
      <c r="J276">
        <v>0</v>
      </c>
      <c r="K276">
        <v>103</v>
      </c>
      <c r="L276" t="s">
        <v>228</v>
      </c>
      <c r="M276">
        <v>3382</v>
      </c>
      <c r="N276">
        <v>2.6863455325365071</v>
      </c>
      <c r="O276">
        <v>18.225302560254931</v>
      </c>
      <c r="P276">
        <v>2.0673300977796321</v>
      </c>
      <c r="Q276">
        <v>14.752729030326011</v>
      </c>
      <c r="R276">
        <v>3</v>
      </c>
      <c r="S276" t="s">
        <v>196</v>
      </c>
      <c r="T276">
        <v>2015</v>
      </c>
      <c r="U276" s="1">
        <v>45901.600802198707</v>
      </c>
      <c r="V276" t="s">
        <v>32</v>
      </c>
      <c r="W276" t="s">
        <v>69</v>
      </c>
      <c r="X276">
        <v>1.042506698431142</v>
      </c>
      <c r="Y276">
        <v>1.0490295471307589</v>
      </c>
      <c r="Z276">
        <v>0.77469743974506855</v>
      </c>
      <c r="AA276">
        <v>2.7409816676522771</v>
      </c>
      <c r="AB276">
        <v>0.48500213791334829</v>
      </c>
    </row>
    <row r="277" spans="1:28" x14ac:dyDescent="0.25">
      <c r="A277">
        <v>10</v>
      </c>
      <c r="B277">
        <v>23</v>
      </c>
      <c r="C277">
        <v>19</v>
      </c>
      <c r="D277">
        <v>2251</v>
      </c>
      <c r="E277">
        <v>50</v>
      </c>
      <c r="F277">
        <v>19</v>
      </c>
      <c r="G277">
        <v>10.65858660638332</v>
      </c>
      <c r="H277" t="s">
        <v>217</v>
      </c>
      <c r="I277" t="s">
        <v>35</v>
      </c>
      <c r="J277">
        <v>0</v>
      </c>
      <c r="K277">
        <v>81</v>
      </c>
      <c r="L277" t="s">
        <v>195</v>
      </c>
      <c r="M277">
        <v>1743</v>
      </c>
      <c r="N277">
        <v>9.0233907550573367</v>
      </c>
      <c r="O277">
        <v>10.65858660638332</v>
      </c>
      <c r="P277">
        <v>8.6255384981632233</v>
      </c>
      <c r="Q277">
        <v>22.583051435649391</v>
      </c>
      <c r="R277">
        <v>2</v>
      </c>
      <c r="S277" t="s">
        <v>196</v>
      </c>
      <c r="T277">
        <v>2015</v>
      </c>
      <c r="U277" s="1">
        <v>45901.600802198707</v>
      </c>
      <c r="V277" t="s">
        <v>32</v>
      </c>
      <c r="W277" t="s">
        <v>69</v>
      </c>
      <c r="X277">
        <v>1.7826003298243209</v>
      </c>
      <c r="Y277">
        <v>1.7826003298243209</v>
      </c>
      <c r="Z277">
        <v>8.3414133936166763</v>
      </c>
      <c r="AA277">
        <v>4.1824440619621344</v>
      </c>
      <c r="AB277">
        <v>0.55035731186144532</v>
      </c>
    </row>
    <row r="278" spans="1:28" x14ac:dyDescent="0.25">
      <c r="A278">
        <v>3</v>
      </c>
      <c r="B278">
        <v>36</v>
      </c>
      <c r="C278">
        <v>18</v>
      </c>
      <c r="D278">
        <v>1701</v>
      </c>
      <c r="E278">
        <v>18</v>
      </c>
      <c r="F278">
        <v>15</v>
      </c>
      <c r="G278">
        <v>16.311861198395491</v>
      </c>
      <c r="H278" t="s">
        <v>229</v>
      </c>
      <c r="I278" t="s">
        <v>29</v>
      </c>
      <c r="J278">
        <v>0</v>
      </c>
      <c r="K278">
        <v>93</v>
      </c>
      <c r="L278" t="s">
        <v>230</v>
      </c>
      <c r="M278">
        <v>2580</v>
      </c>
      <c r="N278">
        <v>2.7201964668929581</v>
      </c>
      <c r="O278">
        <v>18.54169979318976</v>
      </c>
      <c r="P278">
        <v>3.0745558924973011</v>
      </c>
      <c r="Q278">
        <v>17.2436609081924</v>
      </c>
      <c r="R278">
        <v>3</v>
      </c>
      <c r="S278" t="s">
        <v>196</v>
      </c>
      <c r="T278">
        <v>2015</v>
      </c>
      <c r="U278" s="1">
        <v>45901.600802198707</v>
      </c>
      <c r="V278" t="s">
        <v>32</v>
      </c>
      <c r="W278" t="s">
        <v>69</v>
      </c>
      <c r="X278">
        <v>0.97078478245081246</v>
      </c>
      <c r="Y278">
        <v>0.9195762407220256</v>
      </c>
      <c r="Z278">
        <v>-0.54169979318976402</v>
      </c>
      <c r="AA278">
        <v>3.2441860465116279</v>
      </c>
      <c r="AB278">
        <v>0.64680348115778241</v>
      </c>
    </row>
    <row r="279" spans="1:28" x14ac:dyDescent="0.25">
      <c r="A279">
        <v>8</v>
      </c>
      <c r="B279">
        <v>36</v>
      </c>
      <c r="C279">
        <v>17</v>
      </c>
      <c r="D279">
        <v>1700</v>
      </c>
      <c r="E279">
        <v>72</v>
      </c>
      <c r="F279">
        <v>16</v>
      </c>
      <c r="G279">
        <v>17.74561390653253</v>
      </c>
      <c r="H279" t="s">
        <v>231</v>
      </c>
      <c r="I279" t="s">
        <v>35</v>
      </c>
      <c r="J279">
        <v>0</v>
      </c>
      <c r="K279">
        <v>100</v>
      </c>
      <c r="L279" t="s">
        <v>232</v>
      </c>
      <c r="M279">
        <v>3148</v>
      </c>
      <c r="N279">
        <v>7.2583065060898662</v>
      </c>
      <c r="O279">
        <v>18.488891627639529</v>
      </c>
      <c r="P279">
        <v>4.7512894086539754</v>
      </c>
      <c r="Q279">
        <v>25.75750610977412</v>
      </c>
      <c r="R279">
        <v>3</v>
      </c>
      <c r="S279" t="s">
        <v>196</v>
      </c>
      <c r="T279">
        <v>2015</v>
      </c>
      <c r="U279" s="1">
        <v>45901.600802198707</v>
      </c>
      <c r="V279" t="s">
        <v>32</v>
      </c>
      <c r="W279" t="s">
        <v>69</v>
      </c>
      <c r="X279">
        <v>0.91947101764533334</v>
      </c>
      <c r="Y279">
        <v>0.90163124726330657</v>
      </c>
      <c r="Z279">
        <v>-1.488891627639529</v>
      </c>
      <c r="AA279">
        <v>2.858958068614994</v>
      </c>
      <c r="AB279">
        <v>0.52858965898588228</v>
      </c>
    </row>
    <row r="280" spans="1:28" x14ac:dyDescent="0.25">
      <c r="A280">
        <v>2</v>
      </c>
      <c r="B280">
        <v>35</v>
      </c>
      <c r="C280">
        <v>16</v>
      </c>
      <c r="D280">
        <v>2082</v>
      </c>
      <c r="E280">
        <v>23</v>
      </c>
      <c r="F280">
        <v>9</v>
      </c>
      <c r="G280">
        <v>7.8945009401068091</v>
      </c>
      <c r="H280" t="s">
        <v>233</v>
      </c>
      <c r="I280" t="s">
        <v>29</v>
      </c>
      <c r="J280">
        <v>0</v>
      </c>
      <c r="K280">
        <v>70</v>
      </c>
      <c r="L280" t="s">
        <v>234</v>
      </c>
      <c r="M280">
        <v>2515</v>
      </c>
      <c r="N280">
        <v>5.1407187916338444</v>
      </c>
      <c r="O280">
        <v>13.097319035790861</v>
      </c>
      <c r="P280">
        <v>1.6154411053285</v>
      </c>
      <c r="Q280">
        <v>11.529723188839849</v>
      </c>
      <c r="R280">
        <v>3</v>
      </c>
      <c r="S280" t="s">
        <v>196</v>
      </c>
      <c r="T280">
        <v>2015</v>
      </c>
      <c r="U280" s="1">
        <v>45901.600802198707</v>
      </c>
      <c r="V280" t="s">
        <v>32</v>
      </c>
      <c r="W280" t="s">
        <v>69</v>
      </c>
      <c r="X280">
        <v>1.221624055753473</v>
      </c>
      <c r="Y280">
        <v>1.140034065266478</v>
      </c>
      <c r="Z280">
        <v>2.9026809642091389</v>
      </c>
      <c r="AA280">
        <v>2.5049701789264409</v>
      </c>
      <c r="AB280">
        <v>0.46869133726488171</v>
      </c>
    </row>
    <row r="281" spans="1:28" x14ac:dyDescent="0.25">
      <c r="A281">
        <v>4</v>
      </c>
      <c r="B281">
        <v>31</v>
      </c>
      <c r="C281">
        <v>16</v>
      </c>
      <c r="D281">
        <v>2442</v>
      </c>
      <c r="E281">
        <v>24</v>
      </c>
      <c r="F281">
        <v>12</v>
      </c>
      <c r="G281">
        <v>15.205260820686821</v>
      </c>
      <c r="H281" t="s">
        <v>235</v>
      </c>
      <c r="I281" t="s">
        <v>29</v>
      </c>
      <c r="J281">
        <v>0</v>
      </c>
      <c r="K281">
        <v>72</v>
      </c>
      <c r="L281" t="s">
        <v>203</v>
      </c>
      <c r="M281">
        <v>2083</v>
      </c>
      <c r="N281">
        <v>5.8461071625351906</v>
      </c>
      <c r="O281">
        <v>18.921519748866562</v>
      </c>
      <c r="P281">
        <v>2.89435319416225</v>
      </c>
      <c r="Q281">
        <v>19.634935254231092</v>
      </c>
      <c r="R281">
        <v>2</v>
      </c>
      <c r="S281" t="s">
        <v>196</v>
      </c>
      <c r="T281">
        <v>2015</v>
      </c>
      <c r="U281" s="1">
        <v>45901.600802198707</v>
      </c>
      <c r="V281" t="s">
        <v>32</v>
      </c>
      <c r="W281" t="s">
        <v>69</v>
      </c>
      <c r="X281">
        <v>0.84559803928848964</v>
      </c>
      <c r="Y281">
        <v>0.7892005366770134</v>
      </c>
      <c r="Z281">
        <v>-2.9215197488665621</v>
      </c>
      <c r="AA281">
        <v>3.110897743638982</v>
      </c>
      <c r="AB281">
        <v>0.81754045962457544</v>
      </c>
    </row>
    <row r="282" spans="1:28" x14ac:dyDescent="0.25">
      <c r="A282">
        <v>4</v>
      </c>
      <c r="B282">
        <v>35</v>
      </c>
      <c r="C282">
        <v>14</v>
      </c>
      <c r="D282">
        <v>2290</v>
      </c>
      <c r="E282">
        <v>49</v>
      </c>
      <c r="F282">
        <v>13</v>
      </c>
      <c r="G282">
        <v>12.925405189394951</v>
      </c>
      <c r="H282" t="s">
        <v>236</v>
      </c>
      <c r="I282" t="s">
        <v>35</v>
      </c>
      <c r="J282">
        <v>0</v>
      </c>
      <c r="K282">
        <v>80</v>
      </c>
      <c r="L282" t="s">
        <v>215</v>
      </c>
      <c r="M282">
        <v>2682</v>
      </c>
      <c r="N282">
        <v>5.0913434717804193</v>
      </c>
      <c r="O282">
        <v>13.66868017613888</v>
      </c>
      <c r="P282">
        <v>6.5065618865191936</v>
      </c>
      <c r="Q282">
        <v>22.065826866775751</v>
      </c>
      <c r="R282">
        <v>8</v>
      </c>
      <c r="S282" t="s">
        <v>196</v>
      </c>
      <c r="T282">
        <v>2015</v>
      </c>
      <c r="U282" s="1">
        <v>45901.600802198707</v>
      </c>
      <c r="V282" t="s">
        <v>32</v>
      </c>
      <c r="W282" t="s">
        <v>69</v>
      </c>
      <c r="X282">
        <v>1.024239342759625</v>
      </c>
      <c r="Y282">
        <v>1.005771177731918</v>
      </c>
      <c r="Z282">
        <v>0.33131982386112208</v>
      </c>
      <c r="AA282">
        <v>2.6845637583892619</v>
      </c>
      <c r="AB282">
        <v>0.45868054282345228</v>
      </c>
    </row>
    <row r="283" spans="1:28" x14ac:dyDescent="0.25">
      <c r="A283">
        <v>6</v>
      </c>
      <c r="B283">
        <v>34</v>
      </c>
      <c r="C283">
        <v>13</v>
      </c>
      <c r="D283">
        <v>2380</v>
      </c>
      <c r="E283">
        <v>33</v>
      </c>
      <c r="F283">
        <v>11</v>
      </c>
      <c r="G283">
        <v>11.041495369747279</v>
      </c>
      <c r="H283" t="s">
        <v>224</v>
      </c>
      <c r="I283" t="s">
        <v>29</v>
      </c>
      <c r="J283">
        <v>0</v>
      </c>
      <c r="K283">
        <v>61</v>
      </c>
      <c r="L283" t="s">
        <v>225</v>
      </c>
      <c r="M283">
        <v>2416</v>
      </c>
      <c r="N283">
        <v>6.1323746051639318</v>
      </c>
      <c r="O283">
        <v>13.27132646925747</v>
      </c>
      <c r="P283">
        <v>1.602773788385093</v>
      </c>
      <c r="Q283">
        <v>17.20276637934148</v>
      </c>
      <c r="R283">
        <v>2</v>
      </c>
      <c r="S283" t="s">
        <v>196</v>
      </c>
      <c r="T283">
        <v>2015</v>
      </c>
      <c r="U283" s="1">
        <v>45901.600802198707</v>
      </c>
      <c r="V283" t="s">
        <v>32</v>
      </c>
      <c r="W283" t="s">
        <v>69</v>
      </c>
      <c r="X283">
        <v>0.97955543706305537</v>
      </c>
      <c r="Y283">
        <v>0.99624187047517376</v>
      </c>
      <c r="Z283">
        <v>-0.27132646925747389</v>
      </c>
      <c r="AA283">
        <v>2.2723509933774841</v>
      </c>
      <c r="AB283">
        <v>0.49437888337465757</v>
      </c>
    </row>
    <row r="284" spans="1:28" x14ac:dyDescent="0.25">
      <c r="A284">
        <v>0</v>
      </c>
      <c r="B284">
        <v>16</v>
      </c>
      <c r="C284">
        <v>13</v>
      </c>
      <c r="D284">
        <v>2535</v>
      </c>
      <c r="E284">
        <v>3</v>
      </c>
      <c r="F284">
        <v>13</v>
      </c>
      <c r="G284">
        <v>9.8560624793171883</v>
      </c>
      <c r="H284" t="s">
        <v>237</v>
      </c>
      <c r="I284" t="s">
        <v>35</v>
      </c>
      <c r="J284">
        <v>0</v>
      </c>
      <c r="K284">
        <v>46</v>
      </c>
      <c r="L284" t="s">
        <v>238</v>
      </c>
      <c r="M284">
        <v>1178</v>
      </c>
      <c r="N284">
        <v>0.42963630519807339</v>
      </c>
      <c r="O284">
        <v>9.8560624793171883</v>
      </c>
      <c r="P284">
        <v>1.7055202843621371</v>
      </c>
      <c r="Q284">
        <v>9.7102780332788843</v>
      </c>
      <c r="R284">
        <v>0</v>
      </c>
      <c r="S284" t="s">
        <v>196</v>
      </c>
      <c r="T284">
        <v>2015</v>
      </c>
      <c r="U284" s="1">
        <v>45901.600802198707</v>
      </c>
      <c r="V284" t="s">
        <v>32</v>
      </c>
      <c r="W284" t="s">
        <v>69</v>
      </c>
      <c r="X284">
        <v>1.318985145161196</v>
      </c>
      <c r="Y284">
        <v>1.318985145161196</v>
      </c>
      <c r="Z284">
        <v>3.1439375206828122</v>
      </c>
      <c r="AA284">
        <v>3.5144312393887951</v>
      </c>
      <c r="AB284">
        <v>0.75300986684087179</v>
      </c>
    </row>
    <row r="285" spans="1:28" x14ac:dyDescent="0.25">
      <c r="A285">
        <v>7</v>
      </c>
      <c r="B285">
        <v>29</v>
      </c>
      <c r="C285">
        <v>12</v>
      </c>
      <c r="D285">
        <v>1732</v>
      </c>
      <c r="E285">
        <v>60</v>
      </c>
      <c r="F285">
        <v>11</v>
      </c>
      <c r="G285">
        <v>7.2020298168063164</v>
      </c>
      <c r="H285" t="s">
        <v>214</v>
      </c>
      <c r="I285" t="s">
        <v>35</v>
      </c>
      <c r="J285">
        <v>0</v>
      </c>
      <c r="K285">
        <v>81</v>
      </c>
      <c r="L285" t="s">
        <v>215</v>
      </c>
      <c r="M285">
        <v>2473</v>
      </c>
      <c r="N285">
        <v>7.3860703185200691</v>
      </c>
      <c r="O285">
        <v>8.6885849796235561</v>
      </c>
      <c r="P285">
        <v>8.3103322330862284</v>
      </c>
      <c r="Q285">
        <v>17.68769962340593</v>
      </c>
      <c r="R285">
        <v>9</v>
      </c>
      <c r="S285" t="s">
        <v>196</v>
      </c>
      <c r="T285">
        <v>2015</v>
      </c>
      <c r="U285" s="1">
        <v>45901.600802198707</v>
      </c>
      <c r="V285" t="s">
        <v>32</v>
      </c>
      <c r="W285" t="s">
        <v>69</v>
      </c>
      <c r="X285">
        <v>1.3811224760006791</v>
      </c>
      <c r="Y285">
        <v>1.527347189584098</v>
      </c>
      <c r="Z285">
        <v>3.3114150203764439</v>
      </c>
      <c r="AA285">
        <v>2.9478366356651842</v>
      </c>
      <c r="AB285">
        <v>0.31620406314845129</v>
      </c>
    </row>
    <row r="286" spans="1:28" x14ac:dyDescent="0.25">
      <c r="A286">
        <v>0</v>
      </c>
      <c r="B286">
        <v>30</v>
      </c>
      <c r="C286">
        <v>12</v>
      </c>
      <c r="D286">
        <v>2167</v>
      </c>
      <c r="E286">
        <v>19</v>
      </c>
      <c r="F286">
        <v>12</v>
      </c>
      <c r="G286">
        <v>11.42019379138946</v>
      </c>
      <c r="H286" t="s">
        <v>239</v>
      </c>
      <c r="I286" t="s">
        <v>29</v>
      </c>
      <c r="J286">
        <v>0</v>
      </c>
      <c r="K286">
        <v>72</v>
      </c>
      <c r="L286" t="s">
        <v>207</v>
      </c>
      <c r="M286">
        <v>2094</v>
      </c>
      <c r="N286">
        <v>1.6492960965260861</v>
      </c>
      <c r="O286">
        <v>11.42019379138946</v>
      </c>
      <c r="P286">
        <v>1.3175125252455471</v>
      </c>
      <c r="Q286">
        <v>10.859633751213551</v>
      </c>
      <c r="R286">
        <v>8</v>
      </c>
      <c r="S286" t="s">
        <v>196</v>
      </c>
      <c r="T286">
        <v>2015</v>
      </c>
      <c r="U286" s="1">
        <v>45901.600802198707</v>
      </c>
      <c r="V286" t="s">
        <v>32</v>
      </c>
      <c r="W286" t="s">
        <v>69</v>
      </c>
      <c r="X286">
        <v>1.0507702600500259</v>
      </c>
      <c r="Y286">
        <v>1.0507702600500259</v>
      </c>
      <c r="Z286">
        <v>0.57980620861053644</v>
      </c>
      <c r="AA286">
        <v>3.094555873925501</v>
      </c>
      <c r="AB286">
        <v>0.49083927470155292</v>
      </c>
    </row>
    <row r="287" spans="1:28" x14ac:dyDescent="0.25">
      <c r="A287">
        <v>3</v>
      </c>
      <c r="B287">
        <v>34</v>
      </c>
      <c r="C287">
        <v>12</v>
      </c>
      <c r="D287">
        <v>2306</v>
      </c>
      <c r="E287">
        <v>12</v>
      </c>
      <c r="F287">
        <v>12</v>
      </c>
      <c r="G287">
        <v>10.213247090578079</v>
      </c>
      <c r="H287" t="s">
        <v>240</v>
      </c>
      <c r="I287" t="s">
        <v>29</v>
      </c>
      <c r="J287">
        <v>0</v>
      </c>
      <c r="K287">
        <v>49</v>
      </c>
      <c r="L287" t="s">
        <v>221</v>
      </c>
      <c r="M287">
        <v>1864</v>
      </c>
      <c r="N287">
        <v>2.0381743023172021</v>
      </c>
      <c r="O287">
        <v>10.213247090578079</v>
      </c>
      <c r="P287">
        <v>2.3723934888839722</v>
      </c>
      <c r="Q287">
        <v>12.56059747189283</v>
      </c>
      <c r="R287">
        <v>4</v>
      </c>
      <c r="S287" t="s">
        <v>196</v>
      </c>
      <c r="T287">
        <v>2015</v>
      </c>
      <c r="U287" s="1">
        <v>45901.600802198707</v>
      </c>
      <c r="V287" t="s">
        <v>32</v>
      </c>
      <c r="W287" t="s">
        <v>69</v>
      </c>
      <c r="X287">
        <v>1.174944647238608</v>
      </c>
      <c r="Y287">
        <v>1.174944647238608</v>
      </c>
      <c r="Z287">
        <v>1.786752909421921</v>
      </c>
      <c r="AA287">
        <v>2.3658798283261802</v>
      </c>
      <c r="AB287">
        <v>0.4931288831287699</v>
      </c>
    </row>
    <row r="288" spans="1:28" x14ac:dyDescent="0.25">
      <c r="A288">
        <v>3</v>
      </c>
      <c r="B288">
        <v>35</v>
      </c>
      <c r="C288">
        <v>12</v>
      </c>
      <c r="D288">
        <v>2339</v>
      </c>
      <c r="E288">
        <v>36</v>
      </c>
      <c r="F288">
        <v>11</v>
      </c>
      <c r="G288">
        <v>10.295392068102959</v>
      </c>
      <c r="H288" t="s">
        <v>241</v>
      </c>
      <c r="I288" t="s">
        <v>29</v>
      </c>
      <c r="J288">
        <v>0</v>
      </c>
      <c r="K288">
        <v>84</v>
      </c>
      <c r="L288" t="s">
        <v>242</v>
      </c>
      <c r="M288">
        <v>3010</v>
      </c>
      <c r="N288">
        <v>4.023322744295001</v>
      </c>
      <c r="O288">
        <v>11.038667054846879</v>
      </c>
      <c r="P288">
        <v>2.579865762032568</v>
      </c>
      <c r="Q288">
        <v>12.923112150281669</v>
      </c>
      <c r="R288">
        <v>12</v>
      </c>
      <c r="S288" t="s">
        <v>196</v>
      </c>
      <c r="T288">
        <v>2015</v>
      </c>
      <c r="U288" s="1">
        <v>45901.600802198707</v>
      </c>
      <c r="V288" t="s">
        <v>32</v>
      </c>
      <c r="W288" t="s">
        <v>69</v>
      </c>
      <c r="X288">
        <v>1.087087774309762</v>
      </c>
      <c r="Y288">
        <v>1.068439154840936</v>
      </c>
      <c r="Z288">
        <v>0.9613329451531154</v>
      </c>
      <c r="AA288">
        <v>2.5116279069767442</v>
      </c>
      <c r="AB288">
        <v>0.33005981227116932</v>
      </c>
    </row>
    <row r="289" spans="1:28" x14ac:dyDescent="0.25">
      <c r="A289">
        <v>1</v>
      </c>
      <c r="B289">
        <v>29</v>
      </c>
      <c r="C289">
        <v>11</v>
      </c>
      <c r="D289">
        <v>2217</v>
      </c>
      <c r="E289">
        <v>12</v>
      </c>
      <c r="F289">
        <v>10</v>
      </c>
      <c r="G289">
        <v>11.243073206394911</v>
      </c>
      <c r="H289" t="s">
        <v>243</v>
      </c>
      <c r="I289" t="s">
        <v>29</v>
      </c>
      <c r="J289">
        <v>0</v>
      </c>
      <c r="K289">
        <v>50</v>
      </c>
      <c r="L289" t="s">
        <v>244</v>
      </c>
      <c r="M289">
        <v>2269</v>
      </c>
      <c r="N289">
        <v>1.471762793138623</v>
      </c>
      <c r="O289">
        <v>11.986350726336241</v>
      </c>
      <c r="P289">
        <v>1.593286423012614</v>
      </c>
      <c r="Q289">
        <v>11.98026508837938</v>
      </c>
      <c r="R289">
        <v>4</v>
      </c>
      <c r="S289" t="s">
        <v>196</v>
      </c>
      <c r="T289">
        <v>2015</v>
      </c>
      <c r="U289" s="1">
        <v>45901.600802198707</v>
      </c>
      <c r="V289" t="s">
        <v>32</v>
      </c>
      <c r="W289" t="s">
        <v>69</v>
      </c>
      <c r="X289">
        <v>0.91771050682097555</v>
      </c>
      <c r="Y289">
        <v>0.88943652828944786</v>
      </c>
      <c r="Z289">
        <v>-0.98635072633624077</v>
      </c>
      <c r="AA289">
        <v>1.9832525341560161</v>
      </c>
      <c r="AB289">
        <v>0.47543920906578302</v>
      </c>
    </row>
    <row r="290" spans="1:28" x14ac:dyDescent="0.25">
      <c r="A290">
        <v>4</v>
      </c>
      <c r="B290">
        <v>30</v>
      </c>
      <c r="C290">
        <v>11</v>
      </c>
      <c r="D290">
        <v>2271</v>
      </c>
      <c r="E290">
        <v>20</v>
      </c>
      <c r="F290">
        <v>11</v>
      </c>
      <c r="G290">
        <v>8.5920641012489796</v>
      </c>
      <c r="H290" t="s">
        <v>245</v>
      </c>
      <c r="I290" t="s">
        <v>29</v>
      </c>
      <c r="J290">
        <v>0</v>
      </c>
      <c r="K290">
        <v>57</v>
      </c>
      <c r="L290" t="s">
        <v>201</v>
      </c>
      <c r="M290">
        <v>1687</v>
      </c>
      <c r="N290">
        <v>4.5953614935278893</v>
      </c>
      <c r="O290">
        <v>8.5920641012489796</v>
      </c>
      <c r="P290">
        <v>2.5648033991456032</v>
      </c>
      <c r="Q290">
        <v>13.871800094842911</v>
      </c>
      <c r="R290">
        <v>3</v>
      </c>
      <c r="S290" t="s">
        <v>196</v>
      </c>
      <c r="T290">
        <v>2015</v>
      </c>
      <c r="U290" s="1">
        <v>45901.600802198707</v>
      </c>
      <c r="V290" t="s">
        <v>32</v>
      </c>
      <c r="W290" t="s">
        <v>69</v>
      </c>
      <c r="X290">
        <v>1.280251156226941</v>
      </c>
      <c r="Y290">
        <v>1.280251156226941</v>
      </c>
      <c r="Z290">
        <v>2.40793589875102</v>
      </c>
      <c r="AA290">
        <v>3.0409010077059868</v>
      </c>
      <c r="AB290">
        <v>0.45837923480285009</v>
      </c>
    </row>
    <row r="291" spans="1:28" x14ac:dyDescent="0.25">
      <c r="A291">
        <v>9</v>
      </c>
      <c r="B291">
        <v>36</v>
      </c>
      <c r="C291">
        <v>10</v>
      </c>
      <c r="D291">
        <v>2358</v>
      </c>
      <c r="E291">
        <v>80</v>
      </c>
      <c r="F291">
        <v>6</v>
      </c>
      <c r="G291">
        <v>5.9267836902290583</v>
      </c>
      <c r="H291" t="s">
        <v>246</v>
      </c>
      <c r="I291" t="s">
        <v>49</v>
      </c>
      <c r="J291">
        <v>0</v>
      </c>
      <c r="K291">
        <v>86</v>
      </c>
      <c r="L291" t="s">
        <v>247</v>
      </c>
      <c r="M291">
        <v>3128</v>
      </c>
      <c r="N291">
        <v>6.4340134188532829</v>
      </c>
      <c r="O291">
        <v>9.6430453900247795</v>
      </c>
      <c r="P291">
        <v>6.7353722285479307</v>
      </c>
      <c r="Q291">
        <v>13.93094784766436</v>
      </c>
      <c r="R291">
        <v>4</v>
      </c>
      <c r="S291" t="s">
        <v>196</v>
      </c>
      <c r="T291">
        <v>2015</v>
      </c>
      <c r="U291" s="1">
        <v>45901.600802198707</v>
      </c>
      <c r="V291" t="s">
        <v>32</v>
      </c>
      <c r="W291" t="s">
        <v>69</v>
      </c>
      <c r="X291">
        <v>1.0370167924693661</v>
      </c>
      <c r="Y291">
        <v>1.0123534641380021</v>
      </c>
      <c r="Z291">
        <v>0.35695460997522049</v>
      </c>
      <c r="AA291">
        <v>2.4744245524296682</v>
      </c>
      <c r="AB291">
        <v>0.2774533520147795</v>
      </c>
    </row>
    <row r="292" spans="1:28" x14ac:dyDescent="0.25">
      <c r="A292">
        <v>9</v>
      </c>
      <c r="B292">
        <v>34</v>
      </c>
      <c r="C292">
        <v>37</v>
      </c>
      <c r="D292">
        <v>2097</v>
      </c>
      <c r="E292">
        <v>79</v>
      </c>
      <c r="F292">
        <v>31</v>
      </c>
      <c r="G292">
        <v>21.68223516643048</v>
      </c>
      <c r="H292" t="s">
        <v>197</v>
      </c>
      <c r="I292" t="s">
        <v>35</v>
      </c>
      <c r="J292">
        <v>0</v>
      </c>
      <c r="K292">
        <v>179</v>
      </c>
      <c r="L292" t="s">
        <v>198</v>
      </c>
      <c r="M292">
        <v>2832</v>
      </c>
      <c r="N292">
        <v>13.95513175427914</v>
      </c>
      <c r="O292">
        <v>26.885174170136452</v>
      </c>
      <c r="P292">
        <v>18.133511958643801</v>
      </c>
      <c r="Q292">
        <v>42.525034062564373</v>
      </c>
      <c r="R292">
        <v>6</v>
      </c>
      <c r="S292" t="s">
        <v>196</v>
      </c>
      <c r="T292">
        <v>2016</v>
      </c>
      <c r="U292" s="1">
        <v>45901.600802198707</v>
      </c>
      <c r="V292" t="s">
        <v>32</v>
      </c>
      <c r="W292" t="s">
        <v>84</v>
      </c>
      <c r="X292">
        <v>1.3762231840439001</v>
      </c>
      <c r="Y292">
        <v>1.429741895244995</v>
      </c>
      <c r="Z292">
        <v>10.11482582986355</v>
      </c>
      <c r="AA292">
        <v>5.6885593220338979</v>
      </c>
      <c r="AB292">
        <v>0.85440172150857363</v>
      </c>
    </row>
    <row r="293" spans="1:28" x14ac:dyDescent="0.25">
      <c r="A293">
        <v>13</v>
      </c>
      <c r="B293">
        <v>35</v>
      </c>
      <c r="C293">
        <v>29</v>
      </c>
      <c r="D293">
        <v>2098</v>
      </c>
      <c r="E293">
        <v>62</v>
      </c>
      <c r="F293">
        <v>29</v>
      </c>
      <c r="G293">
        <v>23.780642554163929</v>
      </c>
      <c r="H293" t="s">
        <v>208</v>
      </c>
      <c r="I293" t="s">
        <v>29</v>
      </c>
      <c r="J293">
        <v>0</v>
      </c>
      <c r="K293">
        <v>120</v>
      </c>
      <c r="L293" t="s">
        <v>198</v>
      </c>
      <c r="M293">
        <v>2870</v>
      </c>
      <c r="N293">
        <v>11.03960330784321</v>
      </c>
      <c r="O293">
        <v>23.780642554163929</v>
      </c>
      <c r="P293">
        <v>9.2132699964568019</v>
      </c>
      <c r="Q293">
        <v>39.092280421406031</v>
      </c>
      <c r="R293">
        <v>8</v>
      </c>
      <c r="S293" t="s">
        <v>196</v>
      </c>
      <c r="T293">
        <v>2016</v>
      </c>
      <c r="U293" s="1">
        <v>45901.600802198707</v>
      </c>
      <c r="V293" t="s">
        <v>32</v>
      </c>
      <c r="W293" t="s">
        <v>84</v>
      </c>
      <c r="X293">
        <v>1.219479243840792</v>
      </c>
      <c r="Y293">
        <v>1.219479243840792</v>
      </c>
      <c r="Z293">
        <v>5.2193574458360672</v>
      </c>
      <c r="AA293">
        <v>3.7630662020905929</v>
      </c>
      <c r="AB293">
        <v>0.74573443549642993</v>
      </c>
    </row>
    <row r="294" spans="1:28" x14ac:dyDescent="0.25">
      <c r="A294">
        <v>6</v>
      </c>
      <c r="B294">
        <v>29</v>
      </c>
      <c r="C294">
        <v>25</v>
      </c>
      <c r="D294">
        <v>2371</v>
      </c>
      <c r="E294">
        <v>31</v>
      </c>
      <c r="F294">
        <v>19</v>
      </c>
      <c r="G294">
        <v>19.467632994055752</v>
      </c>
      <c r="H294" t="s">
        <v>139</v>
      </c>
      <c r="I294" t="s">
        <v>49</v>
      </c>
      <c r="J294">
        <v>0</v>
      </c>
      <c r="K294">
        <v>162</v>
      </c>
      <c r="L294" t="s">
        <v>195</v>
      </c>
      <c r="M294">
        <v>2546</v>
      </c>
      <c r="N294">
        <v>4.5910330004990101</v>
      </c>
      <c r="O294">
        <v>25.413731053471569</v>
      </c>
      <c r="P294">
        <v>8.6610905490815639</v>
      </c>
      <c r="Q294">
        <v>29.574574857950211</v>
      </c>
      <c r="R294">
        <v>4</v>
      </c>
      <c r="S294" t="s">
        <v>196</v>
      </c>
      <c r="T294">
        <v>2016</v>
      </c>
      <c r="U294" s="1">
        <v>45901.600802198707</v>
      </c>
      <c r="V294" t="s">
        <v>32</v>
      </c>
      <c r="W294" t="s">
        <v>84</v>
      </c>
      <c r="X294">
        <v>0.98372017660055278</v>
      </c>
      <c r="Y294">
        <v>0.97597894956215092</v>
      </c>
      <c r="Z294">
        <v>-0.41373105347156519</v>
      </c>
      <c r="AA294">
        <v>5.7266300078554604</v>
      </c>
      <c r="AB294">
        <v>0.89836441273073087</v>
      </c>
    </row>
    <row r="295" spans="1:28" x14ac:dyDescent="0.25">
      <c r="A295">
        <v>3</v>
      </c>
      <c r="B295">
        <v>32</v>
      </c>
      <c r="C295">
        <v>19</v>
      </c>
      <c r="D295">
        <v>2290</v>
      </c>
      <c r="E295">
        <v>50</v>
      </c>
      <c r="F295">
        <v>13</v>
      </c>
      <c r="G295">
        <v>9.5306839384138584</v>
      </c>
      <c r="H295" t="s">
        <v>236</v>
      </c>
      <c r="I295" t="s">
        <v>35</v>
      </c>
      <c r="J295">
        <v>1</v>
      </c>
      <c r="K295">
        <v>78</v>
      </c>
      <c r="L295" t="s">
        <v>215</v>
      </c>
      <c r="M295">
        <v>2317</v>
      </c>
      <c r="N295">
        <v>5.4442703370004892</v>
      </c>
      <c r="O295">
        <v>13.990095194429159</v>
      </c>
      <c r="P295">
        <v>3.6661910451948638</v>
      </c>
      <c r="Q295">
        <v>15.56609133258462</v>
      </c>
      <c r="R295">
        <v>8</v>
      </c>
      <c r="S295" t="s">
        <v>196</v>
      </c>
      <c r="T295">
        <v>2016</v>
      </c>
      <c r="U295" s="1">
        <v>45901.600802198707</v>
      </c>
      <c r="V295" t="s">
        <v>32</v>
      </c>
      <c r="W295" t="s">
        <v>84</v>
      </c>
      <c r="X295">
        <v>1.358103696647166</v>
      </c>
      <c r="Y295">
        <v>1.3640154351990319</v>
      </c>
      <c r="Z295">
        <v>5.0099048055708408</v>
      </c>
      <c r="AA295">
        <v>3.0297798877859301</v>
      </c>
      <c r="AB295">
        <v>0.54342191087553915</v>
      </c>
    </row>
    <row r="296" spans="1:28" x14ac:dyDescent="0.25">
      <c r="A296">
        <v>8</v>
      </c>
      <c r="B296">
        <v>36</v>
      </c>
      <c r="C296">
        <v>16</v>
      </c>
      <c r="D296">
        <v>2270</v>
      </c>
      <c r="E296">
        <v>56</v>
      </c>
      <c r="F296">
        <v>16</v>
      </c>
      <c r="G296">
        <v>10.03675524890423</v>
      </c>
      <c r="H296" t="s">
        <v>200</v>
      </c>
      <c r="I296" t="s">
        <v>49</v>
      </c>
      <c r="J296">
        <v>0</v>
      </c>
      <c r="K296">
        <v>88</v>
      </c>
      <c r="L296" t="s">
        <v>201</v>
      </c>
      <c r="M296">
        <v>3072</v>
      </c>
      <c r="N296">
        <v>7.3564008921384811</v>
      </c>
      <c r="O296">
        <v>11.52330816537142</v>
      </c>
      <c r="P296">
        <v>8.2864916995167732</v>
      </c>
      <c r="Q296">
        <v>23.41524144820869</v>
      </c>
      <c r="R296">
        <v>3</v>
      </c>
      <c r="S296" t="s">
        <v>196</v>
      </c>
      <c r="T296">
        <v>2016</v>
      </c>
      <c r="U296" s="1">
        <v>45901.600802198707</v>
      </c>
      <c r="V296" t="s">
        <v>32</v>
      </c>
      <c r="W296" t="s">
        <v>84</v>
      </c>
      <c r="X296">
        <v>1.3884901601504891</v>
      </c>
      <c r="Y296">
        <v>1.594140696192309</v>
      </c>
      <c r="Z296">
        <v>4.476691834628582</v>
      </c>
      <c r="AA296">
        <v>2.578125</v>
      </c>
      <c r="AB296">
        <v>0.33759691890736582</v>
      </c>
    </row>
    <row r="297" spans="1:28" x14ac:dyDescent="0.25">
      <c r="A297">
        <v>1</v>
      </c>
      <c r="B297">
        <v>32</v>
      </c>
      <c r="C297">
        <v>16</v>
      </c>
      <c r="D297">
        <v>2410</v>
      </c>
      <c r="E297">
        <v>24</v>
      </c>
      <c r="F297">
        <v>11</v>
      </c>
      <c r="G297">
        <v>11.35333280451596</v>
      </c>
      <c r="H297" t="s">
        <v>204</v>
      </c>
      <c r="I297" t="s">
        <v>29</v>
      </c>
      <c r="J297">
        <v>1</v>
      </c>
      <c r="K297">
        <v>85</v>
      </c>
      <c r="L297" t="s">
        <v>205</v>
      </c>
      <c r="M297">
        <v>2464</v>
      </c>
      <c r="N297">
        <v>1.62703900411725</v>
      </c>
      <c r="O297">
        <v>15.06972877122462</v>
      </c>
      <c r="P297">
        <v>2.1255896091461182</v>
      </c>
      <c r="Q297">
        <v>13.694355437532071</v>
      </c>
      <c r="R297">
        <v>8</v>
      </c>
      <c r="S297" t="s">
        <v>196</v>
      </c>
      <c r="T297">
        <v>2016</v>
      </c>
      <c r="U297" s="1">
        <v>45901.600802198707</v>
      </c>
      <c r="V297" t="s">
        <v>32</v>
      </c>
      <c r="W297" t="s">
        <v>84</v>
      </c>
      <c r="X297">
        <v>1.0617311195773951</v>
      </c>
      <c r="Y297">
        <v>0.96887849492305778</v>
      </c>
      <c r="Z297">
        <v>0.93027122877538204</v>
      </c>
      <c r="AA297">
        <v>3.1047077922077921</v>
      </c>
      <c r="AB297">
        <v>0.55043652167622392</v>
      </c>
    </row>
    <row r="298" spans="1:28" x14ac:dyDescent="0.25">
      <c r="A298">
        <v>4</v>
      </c>
      <c r="B298">
        <v>26</v>
      </c>
      <c r="C298">
        <v>15</v>
      </c>
      <c r="D298">
        <v>1804</v>
      </c>
      <c r="E298">
        <v>17</v>
      </c>
      <c r="F298">
        <v>15</v>
      </c>
      <c r="G298">
        <v>9.5177955757826567</v>
      </c>
      <c r="H298" t="s">
        <v>104</v>
      </c>
      <c r="I298" t="s">
        <v>29</v>
      </c>
      <c r="J298">
        <v>0</v>
      </c>
      <c r="K298">
        <v>55</v>
      </c>
      <c r="L298" t="s">
        <v>195</v>
      </c>
      <c r="M298">
        <v>1326</v>
      </c>
      <c r="N298">
        <v>3.836931817233562</v>
      </c>
      <c r="O298">
        <v>9.5177955757826567</v>
      </c>
      <c r="P298">
        <v>3.971815361641347</v>
      </c>
      <c r="Q298">
        <v>15.49744149856269</v>
      </c>
      <c r="R298">
        <v>8</v>
      </c>
      <c r="S298" t="s">
        <v>196</v>
      </c>
      <c r="T298">
        <v>2016</v>
      </c>
      <c r="U298" s="1">
        <v>45901.600802198707</v>
      </c>
      <c r="V298" t="s">
        <v>32</v>
      </c>
      <c r="W298" t="s">
        <v>84</v>
      </c>
      <c r="X298">
        <v>1.5759951850790339</v>
      </c>
      <c r="Y298">
        <v>1.5759951850790339</v>
      </c>
      <c r="Z298">
        <v>5.4822044242173433</v>
      </c>
      <c r="AA298">
        <v>3.7330316742081449</v>
      </c>
      <c r="AB298">
        <v>0.64600422460063278</v>
      </c>
    </row>
    <row r="299" spans="1:28" x14ac:dyDescent="0.25">
      <c r="A299">
        <v>3</v>
      </c>
      <c r="B299">
        <v>30</v>
      </c>
      <c r="C299">
        <v>14</v>
      </c>
      <c r="D299">
        <v>2537</v>
      </c>
      <c r="E299">
        <v>31</v>
      </c>
      <c r="F299">
        <v>14</v>
      </c>
      <c r="G299">
        <v>6.2545041209086776</v>
      </c>
      <c r="H299" t="s">
        <v>248</v>
      </c>
      <c r="I299" t="s">
        <v>29</v>
      </c>
      <c r="J299">
        <v>0</v>
      </c>
      <c r="K299">
        <v>92</v>
      </c>
      <c r="L299" t="s">
        <v>242</v>
      </c>
      <c r="M299">
        <v>2321</v>
      </c>
      <c r="N299">
        <v>2.9984875088557601</v>
      </c>
      <c r="O299">
        <v>6.997654146514833</v>
      </c>
      <c r="P299">
        <v>2.0745880790054798</v>
      </c>
      <c r="Q299">
        <v>9.0655899839475769</v>
      </c>
      <c r="R299">
        <v>4</v>
      </c>
      <c r="S299" t="s">
        <v>196</v>
      </c>
      <c r="T299">
        <v>2016</v>
      </c>
      <c r="U299" s="1">
        <v>45901.600802198707</v>
      </c>
      <c r="V299" t="s">
        <v>32</v>
      </c>
      <c r="W299" t="s">
        <v>84</v>
      </c>
      <c r="X299">
        <v>2.0006704685416139</v>
      </c>
      <c r="Y299">
        <v>2.238386885572317</v>
      </c>
      <c r="Z299">
        <v>7.002345853485167</v>
      </c>
      <c r="AA299">
        <v>3.5674278328306759</v>
      </c>
      <c r="AB299">
        <v>0.27134376268260879</v>
      </c>
    </row>
    <row r="300" spans="1:28" x14ac:dyDescent="0.25">
      <c r="A300">
        <v>11</v>
      </c>
      <c r="B300">
        <v>30</v>
      </c>
      <c r="C300">
        <v>13</v>
      </c>
      <c r="D300">
        <v>2099</v>
      </c>
      <c r="E300">
        <v>91</v>
      </c>
      <c r="F300">
        <v>12</v>
      </c>
      <c r="G300">
        <v>13.43243578448892</v>
      </c>
      <c r="H300" t="s">
        <v>199</v>
      </c>
      <c r="I300" t="s">
        <v>49</v>
      </c>
      <c r="J300">
        <v>1</v>
      </c>
      <c r="K300">
        <v>105</v>
      </c>
      <c r="L300" t="s">
        <v>198</v>
      </c>
      <c r="M300">
        <v>2652</v>
      </c>
      <c r="N300">
        <v>10.67037823051214</v>
      </c>
      <c r="O300">
        <v>14.175585795193911</v>
      </c>
      <c r="P300">
        <v>12.350073324516419</v>
      </c>
      <c r="Q300">
        <v>30.410831816494461</v>
      </c>
      <c r="R300">
        <v>6</v>
      </c>
      <c r="S300" t="s">
        <v>196</v>
      </c>
      <c r="T300">
        <v>2016</v>
      </c>
      <c r="U300" s="1">
        <v>45901.600802198707</v>
      </c>
      <c r="V300" t="s">
        <v>32</v>
      </c>
      <c r="W300" t="s">
        <v>84</v>
      </c>
      <c r="X300">
        <v>0.91706968500783359</v>
      </c>
      <c r="Y300">
        <v>0.89335993802828972</v>
      </c>
      <c r="Z300">
        <v>-1.175585795193911</v>
      </c>
      <c r="AA300">
        <v>3.563348416289593</v>
      </c>
      <c r="AB300">
        <v>0.48107191612649008</v>
      </c>
    </row>
    <row r="301" spans="1:28" x14ac:dyDescent="0.25">
      <c r="A301">
        <v>4</v>
      </c>
      <c r="B301">
        <v>37</v>
      </c>
      <c r="C301">
        <v>13</v>
      </c>
      <c r="D301">
        <v>2120</v>
      </c>
      <c r="E301">
        <v>32</v>
      </c>
      <c r="F301">
        <v>13</v>
      </c>
      <c r="G301">
        <v>7.7319239899516106</v>
      </c>
      <c r="H301" t="s">
        <v>249</v>
      </c>
      <c r="I301" t="s">
        <v>49</v>
      </c>
      <c r="J301">
        <v>0</v>
      </c>
      <c r="K301">
        <v>82</v>
      </c>
      <c r="L301" t="s">
        <v>213</v>
      </c>
      <c r="M301">
        <v>3286</v>
      </c>
      <c r="N301">
        <v>2.6294280849397178</v>
      </c>
      <c r="O301">
        <v>8.4752009734511375</v>
      </c>
      <c r="P301">
        <v>3.069735068827868</v>
      </c>
      <c r="Q301">
        <v>10.779366297647361</v>
      </c>
      <c r="R301">
        <v>6</v>
      </c>
      <c r="S301" t="s">
        <v>196</v>
      </c>
      <c r="T301">
        <v>2016</v>
      </c>
      <c r="U301" s="1">
        <v>45901.600802198707</v>
      </c>
      <c r="V301" t="s">
        <v>32</v>
      </c>
      <c r="W301" t="s">
        <v>84</v>
      </c>
      <c r="X301">
        <v>1.5338869297286231</v>
      </c>
      <c r="Y301">
        <v>1.681340894827053</v>
      </c>
      <c r="Z301">
        <v>4.5247990265488616</v>
      </c>
      <c r="AA301">
        <v>2.2458916615946438</v>
      </c>
      <c r="AB301">
        <v>0.23212662434893561</v>
      </c>
    </row>
    <row r="302" spans="1:28" x14ac:dyDescent="0.25">
      <c r="A302">
        <v>3</v>
      </c>
      <c r="B302">
        <v>35</v>
      </c>
      <c r="C302">
        <v>13</v>
      </c>
      <c r="D302">
        <v>2150</v>
      </c>
      <c r="E302">
        <v>27</v>
      </c>
      <c r="F302">
        <v>11</v>
      </c>
      <c r="G302">
        <v>12.241546478122469</v>
      </c>
      <c r="H302" t="s">
        <v>227</v>
      </c>
      <c r="I302" t="s">
        <v>35</v>
      </c>
      <c r="J302">
        <v>0</v>
      </c>
      <c r="K302">
        <v>117</v>
      </c>
      <c r="L302" t="s">
        <v>228</v>
      </c>
      <c r="M302">
        <v>2786</v>
      </c>
      <c r="N302">
        <v>2.310372287407517</v>
      </c>
      <c r="O302">
        <v>13.72810058295727</v>
      </c>
      <c r="P302">
        <v>2.2716513760387902</v>
      </c>
      <c r="Q302">
        <v>14.288915805518631</v>
      </c>
      <c r="R302">
        <v>3</v>
      </c>
      <c r="S302" t="s">
        <v>196</v>
      </c>
      <c r="T302">
        <v>2016</v>
      </c>
      <c r="U302" s="1">
        <v>45901.600802198707</v>
      </c>
      <c r="V302" t="s">
        <v>32</v>
      </c>
      <c r="W302" t="s">
        <v>84</v>
      </c>
      <c r="X302">
        <v>0.94696275871833524</v>
      </c>
      <c r="Y302">
        <v>0.89857927833372142</v>
      </c>
      <c r="Z302">
        <v>-0.72810058295726776</v>
      </c>
      <c r="AA302">
        <v>3.7796123474515428</v>
      </c>
      <c r="AB302">
        <v>0.44347776470429079</v>
      </c>
    </row>
    <row r="303" spans="1:28" x14ac:dyDescent="0.25">
      <c r="A303">
        <v>4</v>
      </c>
      <c r="B303">
        <v>28</v>
      </c>
      <c r="C303">
        <v>12</v>
      </c>
      <c r="D303">
        <v>2361</v>
      </c>
      <c r="E303">
        <v>20</v>
      </c>
      <c r="F303">
        <v>9</v>
      </c>
      <c r="G303">
        <v>5.6564472895115614</v>
      </c>
      <c r="H303" t="s">
        <v>250</v>
      </c>
      <c r="I303" t="s">
        <v>29</v>
      </c>
      <c r="J303">
        <v>0</v>
      </c>
      <c r="K303">
        <v>69</v>
      </c>
      <c r="L303" t="s">
        <v>238</v>
      </c>
      <c r="M303">
        <v>2081</v>
      </c>
      <c r="N303">
        <v>2.3852953109890218</v>
      </c>
      <c r="O303">
        <v>7.885898282751441</v>
      </c>
      <c r="P303">
        <v>3.774260170757771</v>
      </c>
      <c r="Q303">
        <v>9.1295706126838923</v>
      </c>
      <c r="R303">
        <v>4</v>
      </c>
      <c r="S303" t="s">
        <v>196</v>
      </c>
      <c r="T303">
        <v>2016</v>
      </c>
      <c r="U303" s="1">
        <v>45901.600802198707</v>
      </c>
      <c r="V303" t="s">
        <v>32</v>
      </c>
      <c r="W303" t="s">
        <v>84</v>
      </c>
      <c r="X303">
        <v>1.5217036245886151</v>
      </c>
      <c r="Y303">
        <v>1.5911047233991209</v>
      </c>
      <c r="Z303">
        <v>4.114101717248559</v>
      </c>
      <c r="AA303">
        <v>2.9841422393080248</v>
      </c>
      <c r="AB303">
        <v>0.34105278493398827</v>
      </c>
    </row>
    <row r="304" spans="1:28" x14ac:dyDescent="0.25">
      <c r="A304">
        <v>5</v>
      </c>
      <c r="B304">
        <v>31</v>
      </c>
      <c r="C304">
        <v>12</v>
      </c>
      <c r="D304">
        <v>2442</v>
      </c>
      <c r="E304">
        <v>21</v>
      </c>
      <c r="F304">
        <v>11</v>
      </c>
      <c r="G304">
        <v>10.582397095859051</v>
      </c>
      <c r="H304" t="s">
        <v>235</v>
      </c>
      <c r="I304" t="s">
        <v>29</v>
      </c>
      <c r="J304">
        <v>0</v>
      </c>
      <c r="K304">
        <v>50</v>
      </c>
      <c r="L304" t="s">
        <v>201</v>
      </c>
      <c r="M304">
        <v>1713</v>
      </c>
      <c r="N304">
        <v>4.3325314223766327</v>
      </c>
      <c r="O304">
        <v>11.32567714899778</v>
      </c>
      <c r="P304">
        <v>1.762221800163388</v>
      </c>
      <c r="Q304">
        <v>14.9787740316242</v>
      </c>
      <c r="R304">
        <v>0</v>
      </c>
      <c r="S304" t="s">
        <v>196</v>
      </c>
      <c r="T304">
        <v>2016</v>
      </c>
      <c r="U304" s="1">
        <v>45901.600802198707</v>
      </c>
      <c r="V304" t="s">
        <v>32</v>
      </c>
      <c r="W304" t="s">
        <v>84</v>
      </c>
      <c r="X304">
        <v>1.059539296602843</v>
      </c>
      <c r="Y304">
        <v>1.0394620330685149</v>
      </c>
      <c r="Z304">
        <v>0.67432285100221634</v>
      </c>
      <c r="AA304">
        <v>2.6269702276707529</v>
      </c>
      <c r="AB304">
        <v>0.59504433357256303</v>
      </c>
    </row>
    <row r="305" spans="1:28" x14ac:dyDescent="0.25">
      <c r="A305">
        <v>2</v>
      </c>
      <c r="B305">
        <v>37</v>
      </c>
      <c r="C305">
        <v>12</v>
      </c>
      <c r="D305">
        <v>4068</v>
      </c>
      <c r="E305">
        <v>16</v>
      </c>
      <c r="F305">
        <v>12</v>
      </c>
      <c r="G305">
        <v>11.384196454659101</v>
      </c>
      <c r="H305" t="s">
        <v>251</v>
      </c>
      <c r="I305" t="s">
        <v>29</v>
      </c>
      <c r="J305">
        <v>0</v>
      </c>
      <c r="K305">
        <v>100</v>
      </c>
      <c r="L305" t="s">
        <v>232</v>
      </c>
      <c r="M305">
        <v>2908</v>
      </c>
      <c r="N305">
        <v>1.517308304086328</v>
      </c>
      <c r="O305">
        <v>11.384196454659101</v>
      </c>
      <c r="P305">
        <v>1.066891398280859</v>
      </c>
      <c r="Q305">
        <v>12.347122669219971</v>
      </c>
      <c r="R305">
        <v>6</v>
      </c>
      <c r="S305" t="s">
        <v>196</v>
      </c>
      <c r="T305">
        <v>2016</v>
      </c>
      <c r="U305" s="1">
        <v>45901.600802198707</v>
      </c>
      <c r="V305" t="s">
        <v>32</v>
      </c>
      <c r="W305" t="s">
        <v>84</v>
      </c>
      <c r="X305">
        <v>1.054092842458711</v>
      </c>
      <c r="Y305">
        <v>1.054092842458711</v>
      </c>
      <c r="Z305">
        <v>0.61580354534089565</v>
      </c>
      <c r="AA305">
        <v>3.0949105914718018</v>
      </c>
      <c r="AB305">
        <v>0.35233070182920201</v>
      </c>
    </row>
    <row r="306" spans="1:28" x14ac:dyDescent="0.25">
      <c r="A306">
        <v>0</v>
      </c>
      <c r="B306">
        <v>35</v>
      </c>
      <c r="C306">
        <v>11</v>
      </c>
      <c r="D306">
        <v>897</v>
      </c>
      <c r="E306">
        <v>7</v>
      </c>
      <c r="F306">
        <v>11</v>
      </c>
      <c r="G306">
        <v>7.2974831759929657</v>
      </c>
      <c r="H306" t="s">
        <v>252</v>
      </c>
      <c r="I306" t="s">
        <v>35</v>
      </c>
      <c r="J306">
        <v>1</v>
      </c>
      <c r="K306">
        <v>48</v>
      </c>
      <c r="L306" t="s">
        <v>238</v>
      </c>
      <c r="M306">
        <v>1836</v>
      </c>
      <c r="N306">
        <v>0.78265619464218616</v>
      </c>
      <c r="O306">
        <v>7.2974831759929657</v>
      </c>
      <c r="P306">
        <v>1.201178096234798</v>
      </c>
      <c r="Q306">
        <v>7.8630614429712287</v>
      </c>
      <c r="R306">
        <v>6</v>
      </c>
      <c r="S306" t="s">
        <v>196</v>
      </c>
      <c r="T306">
        <v>2016</v>
      </c>
      <c r="U306" s="1">
        <v>45901.600802198707</v>
      </c>
      <c r="V306" t="s">
        <v>32</v>
      </c>
      <c r="W306" t="s">
        <v>84</v>
      </c>
      <c r="X306">
        <v>1.507369011303439</v>
      </c>
      <c r="Y306">
        <v>1.507369011303439</v>
      </c>
      <c r="Z306">
        <v>3.7025168240070339</v>
      </c>
      <c r="AA306">
        <v>2.3529411764705879</v>
      </c>
      <c r="AB306">
        <v>0.35771976352906698</v>
      </c>
    </row>
    <row r="307" spans="1:28" x14ac:dyDescent="0.25">
      <c r="A307">
        <v>7</v>
      </c>
      <c r="B307">
        <v>38</v>
      </c>
      <c r="C307">
        <v>11</v>
      </c>
      <c r="D307">
        <v>2135</v>
      </c>
      <c r="E307">
        <v>36</v>
      </c>
      <c r="F307">
        <v>11</v>
      </c>
      <c r="G307">
        <v>8.2275642678141594</v>
      </c>
      <c r="H307" t="s">
        <v>253</v>
      </c>
      <c r="I307" t="s">
        <v>29</v>
      </c>
      <c r="J307">
        <v>0</v>
      </c>
      <c r="K307">
        <v>64</v>
      </c>
      <c r="L307" t="s">
        <v>230</v>
      </c>
      <c r="M307">
        <v>2826</v>
      </c>
      <c r="N307">
        <v>4.6002743639983237</v>
      </c>
      <c r="O307">
        <v>8.2275642678141594</v>
      </c>
      <c r="P307">
        <v>3.489467598497868</v>
      </c>
      <c r="Q307">
        <v>13.362418077886099</v>
      </c>
      <c r="R307">
        <v>5</v>
      </c>
      <c r="S307" t="s">
        <v>196</v>
      </c>
      <c r="T307">
        <v>2016</v>
      </c>
      <c r="U307" s="1">
        <v>45901.600802198707</v>
      </c>
      <c r="V307" t="s">
        <v>32</v>
      </c>
      <c r="W307" t="s">
        <v>84</v>
      </c>
      <c r="X307">
        <v>1.3369691979230689</v>
      </c>
      <c r="Y307">
        <v>1.3369691979230689</v>
      </c>
      <c r="Z307">
        <v>2.7724357321858411</v>
      </c>
      <c r="AA307">
        <v>2.0382165605095541</v>
      </c>
      <c r="AB307">
        <v>0.26202433973930439</v>
      </c>
    </row>
    <row r="308" spans="1:28" x14ac:dyDescent="0.25">
      <c r="A308">
        <v>1</v>
      </c>
      <c r="B308">
        <v>26</v>
      </c>
      <c r="C308">
        <v>11</v>
      </c>
      <c r="D308">
        <v>2306</v>
      </c>
      <c r="E308">
        <v>12</v>
      </c>
      <c r="F308">
        <v>11</v>
      </c>
      <c r="G308">
        <v>8.2861690074205399</v>
      </c>
      <c r="H308" t="s">
        <v>240</v>
      </c>
      <c r="I308" t="s">
        <v>29</v>
      </c>
      <c r="J308">
        <v>0</v>
      </c>
      <c r="K308">
        <v>49</v>
      </c>
      <c r="L308" t="s">
        <v>221</v>
      </c>
      <c r="M308">
        <v>1573</v>
      </c>
      <c r="N308">
        <v>2.653210511431098</v>
      </c>
      <c r="O308">
        <v>8.2861690074205399</v>
      </c>
      <c r="P308">
        <v>2.5884043164551258</v>
      </c>
      <c r="Q308">
        <v>12.78148027323186</v>
      </c>
      <c r="R308">
        <v>5</v>
      </c>
      <c r="S308" t="s">
        <v>196</v>
      </c>
      <c r="T308">
        <v>2016</v>
      </c>
      <c r="U308" s="1">
        <v>45901.600802198707</v>
      </c>
      <c r="V308" t="s">
        <v>32</v>
      </c>
      <c r="W308" t="s">
        <v>84</v>
      </c>
      <c r="X308">
        <v>1.3275133526903851</v>
      </c>
      <c r="Y308">
        <v>1.3275133526903851</v>
      </c>
      <c r="Z308">
        <v>2.7138309925794601</v>
      </c>
      <c r="AA308">
        <v>2.8035600762873489</v>
      </c>
      <c r="AB308">
        <v>0.47409740029742442</v>
      </c>
    </row>
    <row r="309" spans="1:28" x14ac:dyDescent="0.25">
      <c r="A309">
        <v>5</v>
      </c>
      <c r="B309">
        <v>29</v>
      </c>
      <c r="C309">
        <v>11</v>
      </c>
      <c r="D309">
        <v>2370</v>
      </c>
      <c r="E309">
        <v>38</v>
      </c>
      <c r="F309">
        <v>11</v>
      </c>
      <c r="G309">
        <v>13.519230846315621</v>
      </c>
      <c r="H309" t="s">
        <v>209</v>
      </c>
      <c r="I309" t="s">
        <v>29</v>
      </c>
      <c r="J309">
        <v>0</v>
      </c>
      <c r="K309">
        <v>69</v>
      </c>
      <c r="L309" t="s">
        <v>195</v>
      </c>
      <c r="M309">
        <v>1927</v>
      </c>
      <c r="N309">
        <v>3.07024342007935</v>
      </c>
      <c r="O309">
        <v>13.519230846315621</v>
      </c>
      <c r="P309">
        <v>5.1963546220213166</v>
      </c>
      <c r="Q309">
        <v>19.214668564498421</v>
      </c>
      <c r="R309">
        <v>0</v>
      </c>
      <c r="S309" t="s">
        <v>196</v>
      </c>
      <c r="T309">
        <v>2016</v>
      </c>
      <c r="U309" s="1">
        <v>45901.600802198707</v>
      </c>
      <c r="V309" t="s">
        <v>32</v>
      </c>
      <c r="W309" t="s">
        <v>84</v>
      </c>
      <c r="X309">
        <v>0.81365575638482535</v>
      </c>
      <c r="Y309">
        <v>0.81365575638482535</v>
      </c>
      <c r="Z309">
        <v>-2.5192308463156219</v>
      </c>
      <c r="AA309">
        <v>3.222625843279709</v>
      </c>
      <c r="AB309">
        <v>0.63141192328407159</v>
      </c>
    </row>
    <row r="310" spans="1:28" x14ac:dyDescent="0.25">
      <c r="A310">
        <v>4</v>
      </c>
      <c r="B310">
        <v>31</v>
      </c>
      <c r="C310">
        <v>11</v>
      </c>
      <c r="D310">
        <v>3210</v>
      </c>
      <c r="E310">
        <v>26</v>
      </c>
      <c r="F310">
        <v>10</v>
      </c>
      <c r="G310">
        <v>7.178914837539196</v>
      </c>
      <c r="H310" t="s">
        <v>254</v>
      </c>
      <c r="I310" t="s">
        <v>35</v>
      </c>
      <c r="J310">
        <v>0</v>
      </c>
      <c r="K310">
        <v>44</v>
      </c>
      <c r="L310" t="s">
        <v>203</v>
      </c>
      <c r="M310">
        <v>1669</v>
      </c>
      <c r="N310">
        <v>2.7875143028795719</v>
      </c>
      <c r="O310">
        <v>7.9221928492188454</v>
      </c>
      <c r="P310">
        <v>3.5810446850955491</v>
      </c>
      <c r="Q310">
        <v>12.62109177187085</v>
      </c>
      <c r="R310">
        <v>0</v>
      </c>
      <c r="S310" t="s">
        <v>196</v>
      </c>
      <c r="T310">
        <v>2016</v>
      </c>
      <c r="U310" s="1">
        <v>45901.600802198707</v>
      </c>
      <c r="V310" t="s">
        <v>32</v>
      </c>
      <c r="W310" t="s">
        <v>84</v>
      </c>
      <c r="X310">
        <v>1.3885044468571139</v>
      </c>
      <c r="Y310">
        <v>1.3929681889676551</v>
      </c>
      <c r="Z310">
        <v>3.0778071507811551</v>
      </c>
      <c r="AA310">
        <v>2.3726782504493711</v>
      </c>
      <c r="AB310">
        <v>0.42720033339107011</v>
      </c>
    </row>
    <row r="311" spans="1:28" x14ac:dyDescent="0.25">
      <c r="A311">
        <v>4</v>
      </c>
      <c r="B311">
        <v>28</v>
      </c>
      <c r="C311">
        <v>10</v>
      </c>
      <c r="D311">
        <v>1819</v>
      </c>
      <c r="E311">
        <v>21</v>
      </c>
      <c r="F311">
        <v>10</v>
      </c>
      <c r="G311">
        <v>7.8997398670762777</v>
      </c>
      <c r="H311" t="s">
        <v>255</v>
      </c>
      <c r="I311" t="s">
        <v>35</v>
      </c>
      <c r="J311">
        <v>2</v>
      </c>
      <c r="K311">
        <v>76</v>
      </c>
      <c r="L311" t="s">
        <v>247</v>
      </c>
      <c r="M311">
        <v>1995</v>
      </c>
      <c r="N311">
        <v>2.0396497771143922</v>
      </c>
      <c r="O311">
        <v>7.8997398670762777</v>
      </c>
      <c r="P311">
        <v>1.7114371880888939</v>
      </c>
      <c r="Q311">
        <v>10.07333527505398</v>
      </c>
      <c r="R311">
        <v>10</v>
      </c>
      <c r="S311" t="s">
        <v>196</v>
      </c>
      <c r="T311">
        <v>2016</v>
      </c>
      <c r="U311" s="1">
        <v>45901.600802198707</v>
      </c>
      <c r="V311" t="s">
        <v>32</v>
      </c>
      <c r="W311" t="s">
        <v>84</v>
      </c>
      <c r="X311">
        <v>1.265864467471514</v>
      </c>
      <c r="Y311">
        <v>1.265864467471514</v>
      </c>
      <c r="Z311">
        <v>2.1002601329237218</v>
      </c>
      <c r="AA311">
        <v>3.4285714285714288</v>
      </c>
      <c r="AB311">
        <v>0.35637924212374189</v>
      </c>
    </row>
    <row r="312" spans="1:28" x14ac:dyDescent="0.25">
      <c r="A312">
        <v>8</v>
      </c>
      <c r="B312">
        <v>30</v>
      </c>
      <c r="C312">
        <v>10</v>
      </c>
      <c r="D312">
        <v>2255</v>
      </c>
      <c r="E312">
        <v>37</v>
      </c>
      <c r="F312">
        <v>10</v>
      </c>
      <c r="G312">
        <v>4.4936556182801723</v>
      </c>
      <c r="H312" t="s">
        <v>256</v>
      </c>
      <c r="I312" t="s">
        <v>35</v>
      </c>
      <c r="J312">
        <v>0</v>
      </c>
      <c r="K312">
        <v>32</v>
      </c>
      <c r="L312" t="s">
        <v>195</v>
      </c>
      <c r="M312">
        <v>1638</v>
      </c>
      <c r="N312">
        <v>5.061760175973177</v>
      </c>
      <c r="O312">
        <v>4.4936556182801723</v>
      </c>
      <c r="P312">
        <v>11.63029251620174</v>
      </c>
      <c r="Q312">
        <v>18.53051445260644</v>
      </c>
      <c r="R312">
        <v>4</v>
      </c>
      <c r="S312" t="s">
        <v>196</v>
      </c>
      <c r="T312">
        <v>2016</v>
      </c>
      <c r="U312" s="1">
        <v>45901.600802198707</v>
      </c>
      <c r="V312" t="s">
        <v>32</v>
      </c>
      <c r="W312" t="s">
        <v>84</v>
      </c>
      <c r="X312">
        <v>2.2253596736073948</v>
      </c>
      <c r="Y312">
        <v>2.2253596736073948</v>
      </c>
      <c r="Z312">
        <v>5.5063443817198277</v>
      </c>
      <c r="AA312">
        <v>1.758241758241758</v>
      </c>
      <c r="AB312">
        <v>0.24690415485055889</v>
      </c>
    </row>
    <row r="313" spans="1:28" x14ac:dyDescent="0.25">
      <c r="A313">
        <v>4</v>
      </c>
      <c r="B313">
        <v>35</v>
      </c>
      <c r="C313">
        <v>10</v>
      </c>
      <c r="D313">
        <v>2272</v>
      </c>
      <c r="E313">
        <v>34</v>
      </c>
      <c r="F313">
        <v>10</v>
      </c>
      <c r="G313">
        <v>7.019558098167181</v>
      </c>
      <c r="H313" t="s">
        <v>257</v>
      </c>
      <c r="I313" t="s">
        <v>35</v>
      </c>
      <c r="J313">
        <v>0</v>
      </c>
      <c r="K313">
        <v>85</v>
      </c>
      <c r="L313" t="s">
        <v>201</v>
      </c>
      <c r="M313">
        <v>2270</v>
      </c>
      <c r="N313">
        <v>3.4055975051596761</v>
      </c>
      <c r="O313">
        <v>7.7628340683877468</v>
      </c>
      <c r="P313">
        <v>4.0251124640926719</v>
      </c>
      <c r="Q313">
        <v>12.585497761145231</v>
      </c>
      <c r="R313">
        <v>5</v>
      </c>
      <c r="S313" t="s">
        <v>196</v>
      </c>
      <c r="T313">
        <v>2016</v>
      </c>
      <c r="U313" s="1">
        <v>45901.600802198707</v>
      </c>
      <c r="V313" t="s">
        <v>32</v>
      </c>
      <c r="W313" t="s">
        <v>84</v>
      </c>
      <c r="X313">
        <v>1.288189327751132</v>
      </c>
      <c r="Y313">
        <v>1.4245911010567771</v>
      </c>
      <c r="Z313">
        <v>2.2371659316122532</v>
      </c>
      <c r="AA313">
        <v>3.3700440528634359</v>
      </c>
      <c r="AB313">
        <v>0.30777756218277408</v>
      </c>
    </row>
    <row r="314" spans="1:28" x14ac:dyDescent="0.25">
      <c r="A314">
        <v>10</v>
      </c>
      <c r="B314">
        <v>30</v>
      </c>
      <c r="C314">
        <v>10</v>
      </c>
      <c r="D314">
        <v>2382</v>
      </c>
      <c r="E314">
        <v>41</v>
      </c>
      <c r="F314">
        <v>9</v>
      </c>
      <c r="G314">
        <v>4.2651327373459944</v>
      </c>
      <c r="H314" t="s">
        <v>258</v>
      </c>
      <c r="I314" t="s">
        <v>49</v>
      </c>
      <c r="J314">
        <v>0</v>
      </c>
      <c r="K314">
        <v>41</v>
      </c>
      <c r="L314" t="s">
        <v>213</v>
      </c>
      <c r="M314">
        <v>2360</v>
      </c>
      <c r="N314">
        <v>4.6899541998282084</v>
      </c>
      <c r="O314">
        <v>5.0084104398265481</v>
      </c>
      <c r="P314">
        <v>3.9817853989079599</v>
      </c>
      <c r="Q314">
        <v>8.652120728045702</v>
      </c>
      <c r="R314">
        <v>8</v>
      </c>
      <c r="S314" t="s">
        <v>196</v>
      </c>
      <c r="T314">
        <v>2016</v>
      </c>
      <c r="U314" s="1">
        <v>45901.600802198707</v>
      </c>
      <c r="V314" t="s">
        <v>32</v>
      </c>
      <c r="W314" t="s">
        <v>84</v>
      </c>
      <c r="X314">
        <v>1.996641473406545</v>
      </c>
      <c r="Y314">
        <v>2.1101336240241628</v>
      </c>
      <c r="Z314">
        <v>4.9915895601734519</v>
      </c>
      <c r="AA314">
        <v>1.5635593220338979</v>
      </c>
      <c r="AB314">
        <v>0.19099870321372431</v>
      </c>
    </row>
    <row r="315" spans="1:28" x14ac:dyDescent="0.25">
      <c r="A315">
        <v>4</v>
      </c>
      <c r="B315">
        <v>36</v>
      </c>
      <c r="C315">
        <v>10</v>
      </c>
      <c r="D315">
        <v>2400</v>
      </c>
      <c r="E315">
        <v>33</v>
      </c>
      <c r="F315">
        <v>7</v>
      </c>
      <c r="G315">
        <v>6.6716015632264316</v>
      </c>
      <c r="H315" t="s">
        <v>259</v>
      </c>
      <c r="I315" t="s">
        <v>35</v>
      </c>
      <c r="J315">
        <v>0</v>
      </c>
      <c r="K315">
        <v>96</v>
      </c>
      <c r="L315" t="s">
        <v>205</v>
      </c>
      <c r="M315">
        <v>2893</v>
      </c>
      <c r="N315">
        <v>5.8551672250032416</v>
      </c>
      <c r="O315">
        <v>8.9014338846318424</v>
      </c>
      <c r="P315">
        <v>4.4085265789180994</v>
      </c>
      <c r="Q315">
        <v>13.500326083507391</v>
      </c>
      <c r="R315">
        <v>11</v>
      </c>
      <c r="S315" t="s">
        <v>196</v>
      </c>
      <c r="T315">
        <v>2016</v>
      </c>
      <c r="U315" s="1">
        <v>45901.600802198707</v>
      </c>
      <c r="V315" t="s">
        <v>32</v>
      </c>
      <c r="W315" t="s">
        <v>84</v>
      </c>
      <c r="X315">
        <v>1.123414511595128</v>
      </c>
      <c r="Y315">
        <v>1.049223328710708</v>
      </c>
      <c r="Z315">
        <v>1.0985661153681581</v>
      </c>
      <c r="AA315">
        <v>2.986519184237816</v>
      </c>
      <c r="AB315">
        <v>0.27691982357997441</v>
      </c>
    </row>
    <row r="316" spans="1:28" x14ac:dyDescent="0.25">
      <c r="A316">
        <v>0</v>
      </c>
      <c r="B316">
        <v>33</v>
      </c>
      <c r="C316">
        <v>10</v>
      </c>
      <c r="D316">
        <v>5095</v>
      </c>
      <c r="E316">
        <v>7</v>
      </c>
      <c r="F316">
        <v>9</v>
      </c>
      <c r="G316">
        <v>6.0416806638240814</v>
      </c>
      <c r="H316" t="s">
        <v>260</v>
      </c>
      <c r="I316" t="s">
        <v>35</v>
      </c>
      <c r="J316">
        <v>0</v>
      </c>
      <c r="K316">
        <v>72</v>
      </c>
      <c r="L316" t="s">
        <v>261</v>
      </c>
      <c r="M316">
        <v>2407</v>
      </c>
      <c r="N316">
        <v>0.451511200517416</v>
      </c>
      <c r="O316">
        <v>6.7849597036838531</v>
      </c>
      <c r="P316">
        <v>1.3645473048090939</v>
      </c>
      <c r="Q316">
        <v>6.7738323379307994</v>
      </c>
      <c r="R316">
        <v>4</v>
      </c>
      <c r="S316" t="s">
        <v>196</v>
      </c>
      <c r="T316">
        <v>2016</v>
      </c>
      <c r="U316" s="1">
        <v>45901.600802198707</v>
      </c>
      <c r="V316" t="s">
        <v>32</v>
      </c>
      <c r="W316" t="s">
        <v>84</v>
      </c>
      <c r="X316">
        <v>1.473848104738273</v>
      </c>
      <c r="Y316">
        <v>1.4896517212320599</v>
      </c>
      <c r="Z316">
        <v>3.2150402963161469</v>
      </c>
      <c r="AA316">
        <v>2.6921479019526382</v>
      </c>
      <c r="AB316">
        <v>0.25369604209869001</v>
      </c>
    </row>
    <row r="317" spans="1:28" x14ac:dyDescent="0.25">
      <c r="A317">
        <v>12</v>
      </c>
      <c r="B317">
        <v>36</v>
      </c>
      <c r="C317">
        <v>34</v>
      </c>
      <c r="D317">
        <v>2097</v>
      </c>
      <c r="E317">
        <v>87</v>
      </c>
      <c r="F317">
        <v>32</v>
      </c>
      <c r="G317">
        <v>25.973176393657919</v>
      </c>
      <c r="H317" t="s">
        <v>197</v>
      </c>
      <c r="I317" t="s">
        <v>35</v>
      </c>
      <c r="J317">
        <v>0</v>
      </c>
      <c r="K317">
        <v>196</v>
      </c>
      <c r="L317" t="s">
        <v>198</v>
      </c>
      <c r="M317">
        <v>2995</v>
      </c>
      <c r="N317">
        <v>15.10040580108762</v>
      </c>
      <c r="O317">
        <v>28.94629139080644</v>
      </c>
      <c r="P317">
        <v>21.634394498541951</v>
      </c>
      <c r="Q317">
        <v>48.18063086271286</v>
      </c>
      <c r="R317">
        <v>3</v>
      </c>
      <c r="S317" t="s">
        <v>196</v>
      </c>
      <c r="T317">
        <v>2017</v>
      </c>
      <c r="U317" s="1">
        <v>45901.600802198707</v>
      </c>
      <c r="V317" t="s">
        <v>32</v>
      </c>
      <c r="W317" t="s">
        <v>97</v>
      </c>
      <c r="X317">
        <v>1.1745891568962319</v>
      </c>
      <c r="Y317">
        <v>1.232040298614139</v>
      </c>
      <c r="Z317">
        <v>5.0537086091935599</v>
      </c>
      <c r="AA317">
        <v>5.8898163606010012</v>
      </c>
      <c r="AB317">
        <v>0.86983847251171276</v>
      </c>
    </row>
    <row r="318" spans="1:28" x14ac:dyDescent="0.25">
      <c r="A318">
        <v>5</v>
      </c>
      <c r="B318">
        <v>27</v>
      </c>
      <c r="C318">
        <v>26</v>
      </c>
      <c r="D318">
        <v>2371</v>
      </c>
      <c r="E318">
        <v>40</v>
      </c>
      <c r="F318">
        <v>23</v>
      </c>
      <c r="G318">
        <v>24.026196867227551</v>
      </c>
      <c r="H318" t="s">
        <v>139</v>
      </c>
      <c r="I318" t="s">
        <v>32</v>
      </c>
      <c r="J318">
        <v>0</v>
      </c>
      <c r="K318">
        <v>178</v>
      </c>
      <c r="L318" t="s">
        <v>195</v>
      </c>
      <c r="M318">
        <v>2304</v>
      </c>
      <c r="N318">
        <v>5.524839024990797</v>
      </c>
      <c r="O318">
        <v>26.999309986829761</v>
      </c>
      <c r="P318">
        <v>9.4718489870429039</v>
      </c>
      <c r="Q318">
        <v>31.623836845159531</v>
      </c>
      <c r="R318">
        <v>1</v>
      </c>
      <c r="S318" t="s">
        <v>196</v>
      </c>
      <c r="T318">
        <v>2017</v>
      </c>
      <c r="U318" s="1">
        <v>45901.600802198707</v>
      </c>
      <c r="V318" t="s">
        <v>32</v>
      </c>
      <c r="W318" t="s">
        <v>97</v>
      </c>
      <c r="X318">
        <v>0.96298757311511951</v>
      </c>
      <c r="Y318">
        <v>0.95728841843349277</v>
      </c>
      <c r="Z318">
        <v>-0.99930998682976124</v>
      </c>
      <c r="AA318">
        <v>6.953125</v>
      </c>
      <c r="AB318">
        <v>1.0546605463605381</v>
      </c>
    </row>
    <row r="319" spans="1:28" x14ac:dyDescent="0.25">
      <c r="A319">
        <v>12</v>
      </c>
      <c r="B319">
        <v>33</v>
      </c>
      <c r="C319">
        <v>25</v>
      </c>
      <c r="D319">
        <v>2098</v>
      </c>
      <c r="E319">
        <v>56</v>
      </c>
      <c r="F319">
        <v>24</v>
      </c>
      <c r="G319">
        <v>24.624704957008358</v>
      </c>
      <c r="H319" t="s">
        <v>208</v>
      </c>
      <c r="I319" t="s">
        <v>29</v>
      </c>
      <c r="J319">
        <v>0</v>
      </c>
      <c r="K319">
        <v>121</v>
      </c>
      <c r="L319" t="s">
        <v>198</v>
      </c>
      <c r="M319">
        <v>2902</v>
      </c>
      <c r="N319">
        <v>11.144682643935081</v>
      </c>
      <c r="O319">
        <v>25.36797896027565</v>
      </c>
      <c r="P319">
        <v>8.4944993909448385</v>
      </c>
      <c r="Q319">
        <v>38.566824348643422</v>
      </c>
      <c r="R319">
        <v>9</v>
      </c>
      <c r="S319" t="s">
        <v>196</v>
      </c>
      <c r="T319">
        <v>2017</v>
      </c>
      <c r="U319" s="1">
        <v>45901.600802198707</v>
      </c>
      <c r="V319" t="s">
        <v>32</v>
      </c>
      <c r="W319" t="s">
        <v>97</v>
      </c>
      <c r="X319">
        <v>0.98549435251220141</v>
      </c>
      <c r="Y319">
        <v>0.97463096682380501</v>
      </c>
      <c r="Z319">
        <v>-0.36797896027565002</v>
      </c>
      <c r="AA319">
        <v>3.752584424534803</v>
      </c>
      <c r="AB319">
        <v>0.78673952667980995</v>
      </c>
    </row>
    <row r="320" spans="1:28" x14ac:dyDescent="0.25">
      <c r="A320">
        <v>5</v>
      </c>
      <c r="B320">
        <v>34</v>
      </c>
      <c r="C320">
        <v>22</v>
      </c>
      <c r="D320">
        <v>2290</v>
      </c>
      <c r="E320">
        <v>67</v>
      </c>
      <c r="F320">
        <v>20</v>
      </c>
      <c r="G320">
        <v>15.31733049079776</v>
      </c>
      <c r="H320" t="s">
        <v>236</v>
      </c>
      <c r="I320" t="s">
        <v>35</v>
      </c>
      <c r="J320">
        <v>0</v>
      </c>
      <c r="K320">
        <v>94</v>
      </c>
      <c r="L320" t="s">
        <v>215</v>
      </c>
      <c r="M320">
        <v>2939</v>
      </c>
      <c r="N320">
        <v>8.8587931375950575</v>
      </c>
      <c r="O320">
        <v>17.546523582190279</v>
      </c>
      <c r="P320">
        <v>11.63925120979548</v>
      </c>
      <c r="Q320">
        <v>31.426117993891239</v>
      </c>
      <c r="R320">
        <v>9</v>
      </c>
      <c r="S320" t="s">
        <v>196</v>
      </c>
      <c r="T320">
        <v>2017</v>
      </c>
      <c r="U320" s="1">
        <v>45901.600802198707</v>
      </c>
      <c r="V320" t="s">
        <v>32</v>
      </c>
      <c r="W320" t="s">
        <v>97</v>
      </c>
      <c r="X320">
        <v>1.253809616300861</v>
      </c>
      <c r="Y320">
        <v>1.3057105487157481</v>
      </c>
      <c r="Z320">
        <v>4.4534764178097248</v>
      </c>
      <c r="AA320">
        <v>2.87853011228309</v>
      </c>
      <c r="AB320">
        <v>0.53732123933212816</v>
      </c>
    </row>
    <row r="321" spans="1:28" x14ac:dyDescent="0.25">
      <c r="A321">
        <v>0</v>
      </c>
      <c r="B321">
        <v>33</v>
      </c>
      <c r="C321">
        <v>21</v>
      </c>
      <c r="D321">
        <v>1709</v>
      </c>
      <c r="E321">
        <v>12</v>
      </c>
      <c r="F321">
        <v>16</v>
      </c>
      <c r="G321">
        <v>15.06915904954076</v>
      </c>
      <c r="H321" t="s">
        <v>219</v>
      </c>
      <c r="I321" t="s">
        <v>29</v>
      </c>
      <c r="J321">
        <v>0</v>
      </c>
      <c r="K321">
        <v>73</v>
      </c>
      <c r="L321" t="s">
        <v>262</v>
      </c>
      <c r="M321">
        <v>2728</v>
      </c>
      <c r="N321">
        <v>0.95787448110058904</v>
      </c>
      <c r="O321">
        <v>18.785554103553292</v>
      </c>
      <c r="P321">
        <v>1.4602142125368121</v>
      </c>
      <c r="Q321">
        <v>11.786210827063771</v>
      </c>
      <c r="R321">
        <v>8</v>
      </c>
      <c r="S321" t="s">
        <v>196</v>
      </c>
      <c r="T321">
        <v>2017</v>
      </c>
      <c r="U321" s="1">
        <v>45901.600802198707</v>
      </c>
      <c r="V321" t="s">
        <v>32</v>
      </c>
      <c r="W321" t="s">
        <v>97</v>
      </c>
      <c r="X321">
        <v>1.1178802543826929</v>
      </c>
      <c r="Y321">
        <v>1.0617712605858789</v>
      </c>
      <c r="Z321">
        <v>2.214445896446708</v>
      </c>
      <c r="AA321">
        <v>2.4083577712609969</v>
      </c>
      <c r="AB321">
        <v>0.61975801661282859</v>
      </c>
    </row>
    <row r="322" spans="1:28" x14ac:dyDescent="0.25">
      <c r="A322">
        <v>9</v>
      </c>
      <c r="B322">
        <v>32</v>
      </c>
      <c r="C322">
        <v>19</v>
      </c>
      <c r="D322">
        <v>2270</v>
      </c>
      <c r="E322">
        <v>43</v>
      </c>
      <c r="F322">
        <v>17</v>
      </c>
      <c r="G322">
        <v>13.10629750788212</v>
      </c>
      <c r="H322" t="s">
        <v>200</v>
      </c>
      <c r="I322" t="s">
        <v>35</v>
      </c>
      <c r="J322">
        <v>1</v>
      </c>
      <c r="K322">
        <v>72</v>
      </c>
      <c r="L322" t="s">
        <v>201</v>
      </c>
      <c r="M322">
        <v>2532</v>
      </c>
      <c r="N322">
        <v>5.7526998994871974</v>
      </c>
      <c r="O322">
        <v>14.59284474700689</v>
      </c>
      <c r="P322">
        <v>5.3439121842384338</v>
      </c>
      <c r="Q322">
        <v>21.754960969090462</v>
      </c>
      <c r="R322">
        <v>7</v>
      </c>
      <c r="S322" t="s">
        <v>196</v>
      </c>
      <c r="T322">
        <v>2017</v>
      </c>
      <c r="U322" s="1">
        <v>45901.600802198707</v>
      </c>
      <c r="V322" t="s">
        <v>32</v>
      </c>
      <c r="W322" t="s">
        <v>97</v>
      </c>
      <c r="X322">
        <v>1.3020079586536439</v>
      </c>
      <c r="Y322">
        <v>1.297086380785742</v>
      </c>
      <c r="Z322">
        <v>4.4071552529931086</v>
      </c>
      <c r="AA322">
        <v>2.5592417061611372</v>
      </c>
      <c r="AB322">
        <v>0.51870301233436822</v>
      </c>
    </row>
    <row r="323" spans="1:28" x14ac:dyDescent="0.25">
      <c r="A323">
        <v>4</v>
      </c>
      <c r="B323">
        <v>36</v>
      </c>
      <c r="C323">
        <v>17</v>
      </c>
      <c r="D323">
        <v>6124</v>
      </c>
      <c r="E323">
        <v>23</v>
      </c>
      <c r="F323">
        <v>17</v>
      </c>
      <c r="G323">
        <v>16.01419232040644</v>
      </c>
      <c r="H323" t="s">
        <v>263</v>
      </c>
      <c r="I323" t="s">
        <v>29</v>
      </c>
      <c r="J323">
        <v>0</v>
      </c>
      <c r="K323">
        <v>83</v>
      </c>
      <c r="L323" t="s">
        <v>215</v>
      </c>
      <c r="M323">
        <v>3084</v>
      </c>
      <c r="N323">
        <v>4.2972936518490323</v>
      </c>
      <c r="O323">
        <v>16.01419232040644</v>
      </c>
      <c r="P323">
        <v>4.9230117034167051</v>
      </c>
      <c r="Q323">
        <v>22.774309907108549</v>
      </c>
      <c r="R323">
        <v>12</v>
      </c>
      <c r="S323" t="s">
        <v>196</v>
      </c>
      <c r="T323">
        <v>2017</v>
      </c>
      <c r="U323" s="1">
        <v>45901.600802198707</v>
      </c>
      <c r="V323" t="s">
        <v>32</v>
      </c>
      <c r="W323" t="s">
        <v>97</v>
      </c>
      <c r="X323">
        <v>1.061558376461945</v>
      </c>
      <c r="Y323">
        <v>1.061558376461945</v>
      </c>
      <c r="Z323">
        <v>0.98580767959356308</v>
      </c>
      <c r="AA323">
        <v>2.422178988326849</v>
      </c>
      <c r="AB323">
        <v>0.46734024281341741</v>
      </c>
    </row>
    <row r="324" spans="1:28" x14ac:dyDescent="0.25">
      <c r="A324">
        <v>1</v>
      </c>
      <c r="B324">
        <v>38</v>
      </c>
      <c r="C324">
        <v>16</v>
      </c>
      <c r="D324">
        <v>2120</v>
      </c>
      <c r="E324">
        <v>44</v>
      </c>
      <c r="F324">
        <v>15</v>
      </c>
      <c r="G324">
        <v>14.359533490613099</v>
      </c>
      <c r="H324" t="s">
        <v>249</v>
      </c>
      <c r="I324" t="s">
        <v>49</v>
      </c>
      <c r="J324">
        <v>0</v>
      </c>
      <c r="K324">
        <v>105</v>
      </c>
      <c r="L324" t="s">
        <v>213</v>
      </c>
      <c r="M324">
        <v>3413</v>
      </c>
      <c r="N324">
        <v>4.2544922889210284</v>
      </c>
      <c r="O324">
        <v>15.845952453091741</v>
      </c>
      <c r="P324">
        <v>5.4608511468395591</v>
      </c>
      <c r="Q324">
        <v>19.6921088192612</v>
      </c>
      <c r="R324">
        <v>4</v>
      </c>
      <c r="S324" t="s">
        <v>196</v>
      </c>
      <c r="T324">
        <v>2017</v>
      </c>
      <c r="U324" s="1">
        <v>45901.600802198707</v>
      </c>
      <c r="V324" t="s">
        <v>32</v>
      </c>
      <c r="W324" t="s">
        <v>97</v>
      </c>
      <c r="X324">
        <v>1.009721570689063</v>
      </c>
      <c r="Y324">
        <v>1.044602180830287</v>
      </c>
      <c r="Z324">
        <v>0.15404754690825939</v>
      </c>
      <c r="AA324">
        <v>2.7688250805742749</v>
      </c>
      <c r="AB324">
        <v>0.41785400550197971</v>
      </c>
    </row>
    <row r="325" spans="1:28" x14ac:dyDescent="0.25">
      <c r="A325">
        <v>2</v>
      </c>
      <c r="B325">
        <v>26</v>
      </c>
      <c r="C325">
        <v>16</v>
      </c>
      <c r="D325">
        <v>2251</v>
      </c>
      <c r="E325">
        <v>41</v>
      </c>
      <c r="F325">
        <v>15</v>
      </c>
      <c r="G325">
        <v>11.439189024269581</v>
      </c>
      <c r="H325" t="s">
        <v>217</v>
      </c>
      <c r="I325" t="s">
        <v>35</v>
      </c>
      <c r="J325">
        <v>0</v>
      </c>
      <c r="K325">
        <v>76</v>
      </c>
      <c r="L325" t="s">
        <v>195</v>
      </c>
      <c r="M325">
        <v>1803</v>
      </c>
      <c r="N325">
        <v>5.8870493564754716</v>
      </c>
      <c r="O325">
        <v>12.18246204406023</v>
      </c>
      <c r="P325">
        <v>6.2332508005201817</v>
      </c>
      <c r="Q325">
        <v>19.837879944592711</v>
      </c>
      <c r="R325">
        <v>5</v>
      </c>
      <c r="S325" t="s">
        <v>196</v>
      </c>
      <c r="T325">
        <v>2017</v>
      </c>
      <c r="U325" s="1">
        <v>45901.600802198707</v>
      </c>
      <c r="V325" t="s">
        <v>32</v>
      </c>
      <c r="W325" t="s">
        <v>97</v>
      </c>
      <c r="X325">
        <v>1.3133634188338039</v>
      </c>
      <c r="Y325">
        <v>1.311281767280507</v>
      </c>
      <c r="Z325">
        <v>3.8175379559397702</v>
      </c>
      <c r="AA325">
        <v>3.793677204658902</v>
      </c>
      <c r="AB325">
        <v>0.60810958622596822</v>
      </c>
    </row>
    <row r="326" spans="1:28" x14ac:dyDescent="0.25">
      <c r="A326">
        <v>4</v>
      </c>
      <c r="B326">
        <v>37</v>
      </c>
      <c r="C326">
        <v>16</v>
      </c>
      <c r="D326">
        <v>2381</v>
      </c>
      <c r="E326">
        <v>34</v>
      </c>
      <c r="F326">
        <v>15</v>
      </c>
      <c r="G326">
        <v>13.80591879598796</v>
      </c>
      <c r="H326" t="s">
        <v>154</v>
      </c>
      <c r="I326" t="s">
        <v>29</v>
      </c>
      <c r="J326">
        <v>0</v>
      </c>
      <c r="K326">
        <v>92</v>
      </c>
      <c r="L326" t="s">
        <v>225</v>
      </c>
      <c r="M326">
        <v>2699</v>
      </c>
      <c r="N326">
        <v>3.9083174057304859</v>
      </c>
      <c r="O326">
        <v>14.549195786938069</v>
      </c>
      <c r="P326">
        <v>5.1522400174289942</v>
      </c>
      <c r="Q326">
        <v>20.068414553999901</v>
      </c>
      <c r="R326">
        <v>4</v>
      </c>
      <c r="S326" t="s">
        <v>196</v>
      </c>
      <c r="T326">
        <v>2017</v>
      </c>
      <c r="U326" s="1">
        <v>45901.600802198707</v>
      </c>
      <c r="V326" t="s">
        <v>32</v>
      </c>
      <c r="W326" t="s">
        <v>97</v>
      </c>
      <c r="X326">
        <v>1.0997171413669771</v>
      </c>
      <c r="Y326">
        <v>1.086490527842235</v>
      </c>
      <c r="Z326">
        <v>1.450804213061929</v>
      </c>
      <c r="AA326">
        <v>3.067802889959244</v>
      </c>
      <c r="AB326">
        <v>0.48515287914947258</v>
      </c>
    </row>
    <row r="327" spans="1:28" x14ac:dyDescent="0.25">
      <c r="A327">
        <v>6</v>
      </c>
      <c r="B327">
        <v>35</v>
      </c>
      <c r="C327">
        <v>15</v>
      </c>
      <c r="D327">
        <v>1125</v>
      </c>
      <c r="E327">
        <v>30</v>
      </c>
      <c r="F327">
        <v>14</v>
      </c>
      <c r="G327">
        <v>13.65415330044925</v>
      </c>
      <c r="H327" t="s">
        <v>202</v>
      </c>
      <c r="I327" t="s">
        <v>29</v>
      </c>
      <c r="J327">
        <v>0</v>
      </c>
      <c r="K327">
        <v>73</v>
      </c>
      <c r="L327" t="s">
        <v>221</v>
      </c>
      <c r="M327">
        <v>2513</v>
      </c>
      <c r="N327">
        <v>5.5621168799698353</v>
      </c>
      <c r="O327">
        <v>14.39743111096322</v>
      </c>
      <c r="P327">
        <v>4.9588721748441458</v>
      </c>
      <c r="Q327">
        <v>20.904750876128681</v>
      </c>
      <c r="R327">
        <v>8</v>
      </c>
      <c r="S327" t="s">
        <v>196</v>
      </c>
      <c r="T327">
        <v>2017</v>
      </c>
      <c r="U327" s="1">
        <v>45901.600802198707</v>
      </c>
      <c r="V327" t="s">
        <v>32</v>
      </c>
      <c r="W327" t="s">
        <v>97</v>
      </c>
      <c r="X327">
        <v>1.041852528023415</v>
      </c>
      <c r="Y327">
        <v>1.025329047648774</v>
      </c>
      <c r="Z327">
        <v>0.60256888903677641</v>
      </c>
      <c r="AA327">
        <v>2.614405093513728</v>
      </c>
      <c r="AB327">
        <v>0.51562626342486673</v>
      </c>
    </row>
    <row r="328" spans="1:28" x14ac:dyDescent="0.25">
      <c r="A328">
        <v>4</v>
      </c>
      <c r="B328">
        <v>34</v>
      </c>
      <c r="C328">
        <v>15</v>
      </c>
      <c r="D328">
        <v>2361</v>
      </c>
      <c r="E328">
        <v>40</v>
      </c>
      <c r="F328">
        <v>12</v>
      </c>
      <c r="G328">
        <v>8.7366381697356701</v>
      </c>
      <c r="H328" t="s">
        <v>250</v>
      </c>
      <c r="I328" t="s">
        <v>29</v>
      </c>
      <c r="J328">
        <v>0</v>
      </c>
      <c r="K328">
        <v>89</v>
      </c>
      <c r="L328" t="s">
        <v>238</v>
      </c>
      <c r="M328">
        <v>2789</v>
      </c>
      <c r="N328">
        <v>4.9935089498758316</v>
      </c>
      <c r="O328">
        <v>11.70962223038077</v>
      </c>
      <c r="P328">
        <v>4.7952380739152431</v>
      </c>
      <c r="Q328">
        <v>14.91808640956879</v>
      </c>
      <c r="R328">
        <v>4</v>
      </c>
      <c r="S328" t="s">
        <v>196</v>
      </c>
      <c r="T328">
        <v>2017</v>
      </c>
      <c r="U328" s="1">
        <v>45901.600802198707</v>
      </c>
      <c r="V328" t="s">
        <v>32</v>
      </c>
      <c r="W328" t="s">
        <v>97</v>
      </c>
      <c r="X328">
        <v>1.280997773018014</v>
      </c>
      <c r="Y328">
        <v>1.3735260367733719</v>
      </c>
      <c r="Z328">
        <v>3.290377769619226</v>
      </c>
      <c r="AA328">
        <v>2.8719971315883832</v>
      </c>
      <c r="AB328">
        <v>0.37786518491727128</v>
      </c>
    </row>
    <row r="329" spans="1:28" x14ac:dyDescent="0.25">
      <c r="A329">
        <v>1</v>
      </c>
      <c r="B329">
        <v>33</v>
      </c>
      <c r="C329">
        <v>13</v>
      </c>
      <c r="D329">
        <v>1642</v>
      </c>
      <c r="E329">
        <v>15</v>
      </c>
      <c r="F329">
        <v>13</v>
      </c>
      <c r="G329">
        <v>10.359604505822061</v>
      </c>
      <c r="H329" t="s">
        <v>264</v>
      </c>
      <c r="I329" t="s">
        <v>29</v>
      </c>
      <c r="J329">
        <v>1</v>
      </c>
      <c r="K329">
        <v>72</v>
      </c>
      <c r="L329" t="s">
        <v>225</v>
      </c>
      <c r="M329">
        <v>2082</v>
      </c>
      <c r="N329">
        <v>2.3537987545132641</v>
      </c>
      <c r="O329">
        <v>10.359604505822061</v>
      </c>
      <c r="P329">
        <v>2.7284964807331562</v>
      </c>
      <c r="Q329">
        <v>13.20799507945776</v>
      </c>
      <c r="R329">
        <v>8</v>
      </c>
      <c r="S329" t="s">
        <v>196</v>
      </c>
      <c r="T329">
        <v>2017</v>
      </c>
      <c r="U329" s="1">
        <v>45901.600802198707</v>
      </c>
      <c r="V329" t="s">
        <v>32</v>
      </c>
      <c r="W329" t="s">
        <v>97</v>
      </c>
      <c r="X329">
        <v>1.2548741597899851</v>
      </c>
      <c r="Y329">
        <v>1.2548741597899851</v>
      </c>
      <c r="Z329">
        <v>2.640395494177938</v>
      </c>
      <c r="AA329">
        <v>3.1123919308357348</v>
      </c>
      <c r="AB329">
        <v>0.44782152042458478</v>
      </c>
    </row>
    <row r="330" spans="1:28" x14ac:dyDescent="0.25">
      <c r="A330">
        <v>2</v>
      </c>
      <c r="B330">
        <v>33</v>
      </c>
      <c r="C330">
        <v>13</v>
      </c>
      <c r="D330">
        <v>4136</v>
      </c>
      <c r="E330">
        <v>18</v>
      </c>
      <c r="F330">
        <v>13</v>
      </c>
      <c r="G330">
        <v>9.7264865282922983</v>
      </c>
      <c r="H330" t="s">
        <v>265</v>
      </c>
      <c r="I330" t="s">
        <v>29</v>
      </c>
      <c r="J330">
        <v>0</v>
      </c>
      <c r="K330">
        <v>68</v>
      </c>
      <c r="L330" t="s">
        <v>266</v>
      </c>
      <c r="M330">
        <v>2304</v>
      </c>
      <c r="N330">
        <v>4.4192121252417564</v>
      </c>
      <c r="O330">
        <v>10.469764554873111</v>
      </c>
      <c r="P330">
        <v>2.1694026160985231</v>
      </c>
      <c r="Q330">
        <v>13.11417127028108</v>
      </c>
      <c r="R330">
        <v>7</v>
      </c>
      <c r="S330" t="s">
        <v>196</v>
      </c>
      <c r="T330">
        <v>2017</v>
      </c>
      <c r="U330" s="1">
        <v>45901.600802198707</v>
      </c>
      <c r="V330" t="s">
        <v>32</v>
      </c>
      <c r="W330" t="s">
        <v>97</v>
      </c>
      <c r="X330">
        <v>1.241670711109659</v>
      </c>
      <c r="Y330">
        <v>1.3365566242430651</v>
      </c>
      <c r="Z330">
        <v>2.5302354451268911</v>
      </c>
      <c r="AA330">
        <v>2.65625</v>
      </c>
      <c r="AB330">
        <v>0.40897517792473081</v>
      </c>
    </row>
    <row r="331" spans="1:28" x14ac:dyDescent="0.25">
      <c r="A331">
        <v>5</v>
      </c>
      <c r="B331">
        <v>35</v>
      </c>
      <c r="C331">
        <v>12</v>
      </c>
      <c r="D331">
        <v>2234</v>
      </c>
      <c r="E331">
        <v>42</v>
      </c>
      <c r="F331">
        <v>12</v>
      </c>
      <c r="G331">
        <v>8.9880339875817299</v>
      </c>
      <c r="H331" t="s">
        <v>267</v>
      </c>
      <c r="I331" t="s">
        <v>35</v>
      </c>
      <c r="J331">
        <v>0</v>
      </c>
      <c r="K331">
        <v>64</v>
      </c>
      <c r="L331" t="s">
        <v>238</v>
      </c>
      <c r="M331">
        <v>2788</v>
      </c>
      <c r="N331">
        <v>5.4928316995501518</v>
      </c>
      <c r="O331">
        <v>8.9880339875817299</v>
      </c>
      <c r="P331">
        <v>6.0474029798060656</v>
      </c>
      <c r="Q331">
        <v>16.70387391932309</v>
      </c>
      <c r="R331">
        <v>3</v>
      </c>
      <c r="S331" t="s">
        <v>196</v>
      </c>
      <c r="T331">
        <v>2017</v>
      </c>
      <c r="U331" s="1">
        <v>45901.600802198707</v>
      </c>
      <c r="V331" t="s">
        <v>32</v>
      </c>
      <c r="W331" t="s">
        <v>97</v>
      </c>
      <c r="X331">
        <v>1.3351084360138981</v>
      </c>
      <c r="Y331">
        <v>1.3351084360138981</v>
      </c>
      <c r="Z331">
        <v>3.0119660124182701</v>
      </c>
      <c r="AA331">
        <v>2.0659971305595408</v>
      </c>
      <c r="AB331">
        <v>0.29014456918305442</v>
      </c>
    </row>
    <row r="332" spans="1:28" x14ac:dyDescent="0.25">
      <c r="A332">
        <v>2</v>
      </c>
      <c r="B332">
        <v>32</v>
      </c>
      <c r="C332">
        <v>12</v>
      </c>
      <c r="D332">
        <v>2384</v>
      </c>
      <c r="E332">
        <v>10</v>
      </c>
      <c r="F332">
        <v>11</v>
      </c>
      <c r="G332">
        <v>8.1805257014930248</v>
      </c>
      <c r="H332" t="s">
        <v>268</v>
      </c>
      <c r="I332" t="s">
        <v>29</v>
      </c>
      <c r="J332">
        <v>0</v>
      </c>
      <c r="K332">
        <v>43</v>
      </c>
      <c r="L332" t="s">
        <v>225</v>
      </c>
      <c r="M332">
        <v>1548</v>
      </c>
      <c r="N332">
        <v>2.0410299189388752</v>
      </c>
      <c r="O332">
        <v>8.9238027147948742</v>
      </c>
      <c r="P332">
        <v>2.4853996839374299</v>
      </c>
      <c r="Q332">
        <v>10.492056138813499</v>
      </c>
      <c r="R332">
        <v>3</v>
      </c>
      <c r="S332" t="s">
        <v>196</v>
      </c>
      <c r="T332">
        <v>2017</v>
      </c>
      <c r="U332" s="1">
        <v>45901.600802198707</v>
      </c>
      <c r="V332" t="s">
        <v>32</v>
      </c>
      <c r="W332" t="s">
        <v>97</v>
      </c>
      <c r="X332">
        <v>1.3447182085396241</v>
      </c>
      <c r="Y332">
        <v>1.344656859643188</v>
      </c>
      <c r="Z332">
        <v>3.0761972852051258</v>
      </c>
      <c r="AA332">
        <v>2.5</v>
      </c>
      <c r="AB332">
        <v>0.51882573923226005</v>
      </c>
    </row>
    <row r="333" spans="1:28" x14ac:dyDescent="0.25">
      <c r="A333">
        <v>1</v>
      </c>
      <c r="B333">
        <v>31</v>
      </c>
      <c r="C333">
        <v>11</v>
      </c>
      <c r="D333">
        <v>5095</v>
      </c>
      <c r="E333">
        <v>10</v>
      </c>
      <c r="F333">
        <v>11</v>
      </c>
      <c r="G333">
        <v>9.3212610315531492</v>
      </c>
      <c r="H333" t="s">
        <v>260</v>
      </c>
      <c r="I333" t="s">
        <v>35</v>
      </c>
      <c r="J333">
        <v>0</v>
      </c>
      <c r="K333">
        <v>65</v>
      </c>
      <c r="L333" t="s">
        <v>228</v>
      </c>
      <c r="M333">
        <v>1984</v>
      </c>
      <c r="N333">
        <v>1.179199174977839</v>
      </c>
      <c r="O333">
        <v>10.06453801505268</v>
      </c>
      <c r="P333">
        <v>1.51486543007195</v>
      </c>
      <c r="Q333">
        <v>11.084632508456711</v>
      </c>
      <c r="R333">
        <v>5</v>
      </c>
      <c r="S333" t="s">
        <v>196</v>
      </c>
      <c r="T333">
        <v>2017</v>
      </c>
      <c r="U333" s="1">
        <v>45901.600802198707</v>
      </c>
      <c r="V333" t="s">
        <v>32</v>
      </c>
      <c r="W333" t="s">
        <v>97</v>
      </c>
      <c r="X333">
        <v>1.092946341257615</v>
      </c>
      <c r="Y333">
        <v>1.180097838990261</v>
      </c>
      <c r="Z333">
        <v>0.9354619849473238</v>
      </c>
      <c r="AA333">
        <v>2.948588709677419</v>
      </c>
      <c r="AB333">
        <v>0.45655666398928468</v>
      </c>
    </row>
    <row r="334" spans="1:28" x14ac:dyDescent="0.25">
      <c r="A334">
        <v>5</v>
      </c>
      <c r="B334">
        <v>37</v>
      </c>
      <c r="C334">
        <v>11</v>
      </c>
      <c r="D334">
        <v>6118</v>
      </c>
      <c r="E334">
        <v>39</v>
      </c>
      <c r="F334">
        <v>11</v>
      </c>
      <c r="G334">
        <v>8.1849855817854404</v>
      </c>
      <c r="H334" t="s">
        <v>269</v>
      </c>
      <c r="I334" t="s">
        <v>35</v>
      </c>
      <c r="J334">
        <v>0</v>
      </c>
      <c r="K334">
        <v>52</v>
      </c>
      <c r="L334" t="s">
        <v>262</v>
      </c>
      <c r="M334">
        <v>3016</v>
      </c>
      <c r="N334">
        <v>6.5914155915379524</v>
      </c>
      <c r="O334">
        <v>8.1849855817854404</v>
      </c>
      <c r="P334">
        <v>3.1880917306989431</v>
      </c>
      <c r="Q334">
        <v>14.57052250020206</v>
      </c>
      <c r="R334">
        <v>4</v>
      </c>
      <c r="S334" t="s">
        <v>196</v>
      </c>
      <c r="T334">
        <v>2017</v>
      </c>
      <c r="U334" s="1">
        <v>45901.600802198707</v>
      </c>
      <c r="V334" t="s">
        <v>32</v>
      </c>
      <c r="W334" t="s">
        <v>97</v>
      </c>
      <c r="X334">
        <v>1.3439241755634841</v>
      </c>
      <c r="Y334">
        <v>1.3439241755634841</v>
      </c>
      <c r="Z334">
        <v>2.81501441821456</v>
      </c>
      <c r="AA334">
        <v>1.551724137931034</v>
      </c>
      <c r="AB334">
        <v>0.24424691722834541</v>
      </c>
    </row>
    <row r="335" spans="1:28" x14ac:dyDescent="0.25">
      <c r="A335">
        <v>6</v>
      </c>
      <c r="B335">
        <v>33</v>
      </c>
      <c r="C335">
        <v>10</v>
      </c>
      <c r="D335">
        <v>2106</v>
      </c>
      <c r="E335">
        <v>42</v>
      </c>
      <c r="F335">
        <v>10</v>
      </c>
      <c r="G335">
        <v>9.6996386479586363</v>
      </c>
      <c r="H335" t="s">
        <v>270</v>
      </c>
      <c r="I335" t="s">
        <v>29</v>
      </c>
      <c r="J335">
        <v>1</v>
      </c>
      <c r="K335">
        <v>62</v>
      </c>
      <c r="L335" t="s">
        <v>271</v>
      </c>
      <c r="M335">
        <v>2459</v>
      </c>
      <c r="N335">
        <v>4.5198941379785538</v>
      </c>
      <c r="O335">
        <v>9.6996386479586363</v>
      </c>
      <c r="P335">
        <v>1.705050023272634</v>
      </c>
      <c r="Q335">
        <v>12.660594698041679</v>
      </c>
      <c r="R335">
        <v>7</v>
      </c>
      <c r="S335" t="s">
        <v>196</v>
      </c>
      <c r="T335">
        <v>2017</v>
      </c>
      <c r="U335" s="1">
        <v>45901.600802198707</v>
      </c>
      <c r="V335" t="s">
        <v>32</v>
      </c>
      <c r="W335" t="s">
        <v>97</v>
      </c>
      <c r="X335">
        <v>1.0309662414181351</v>
      </c>
      <c r="Y335">
        <v>1.0309662414181351</v>
      </c>
      <c r="Z335">
        <v>0.30036135204136372</v>
      </c>
      <c r="AA335">
        <v>2.2692151281008539</v>
      </c>
      <c r="AB335">
        <v>0.3550091412428944</v>
      </c>
    </row>
    <row r="336" spans="1:28" x14ac:dyDescent="0.25">
      <c r="A336">
        <v>8</v>
      </c>
      <c r="B336">
        <v>35</v>
      </c>
      <c r="C336">
        <v>10</v>
      </c>
      <c r="D336">
        <v>2186</v>
      </c>
      <c r="E336">
        <v>46</v>
      </c>
      <c r="F336">
        <v>7</v>
      </c>
      <c r="G336">
        <v>7.3472422938793898</v>
      </c>
      <c r="H336" t="s">
        <v>272</v>
      </c>
      <c r="I336" t="s">
        <v>49</v>
      </c>
      <c r="J336">
        <v>1</v>
      </c>
      <c r="K336">
        <v>61</v>
      </c>
      <c r="L336" t="s">
        <v>223</v>
      </c>
      <c r="M336">
        <v>3070</v>
      </c>
      <c r="N336">
        <v>7.4610808994621038</v>
      </c>
      <c r="O336">
        <v>9.5769469197839499</v>
      </c>
      <c r="P336">
        <v>3.409730128012598</v>
      </c>
      <c r="Q336">
        <v>14.59230666793883</v>
      </c>
      <c r="R336">
        <v>6</v>
      </c>
      <c r="S336" t="s">
        <v>196</v>
      </c>
      <c r="T336">
        <v>2017</v>
      </c>
      <c r="U336" s="1">
        <v>45901.600802198707</v>
      </c>
      <c r="V336" t="s">
        <v>32</v>
      </c>
      <c r="W336" t="s">
        <v>97</v>
      </c>
      <c r="X336">
        <v>1.044174107234751</v>
      </c>
      <c r="Y336">
        <v>0.95273841803629378</v>
      </c>
      <c r="Z336">
        <v>0.42305308021605009</v>
      </c>
      <c r="AA336">
        <v>1.7882736156351791</v>
      </c>
      <c r="AB336">
        <v>0.28075740155718421</v>
      </c>
    </row>
    <row r="337" spans="1:28" x14ac:dyDescent="0.25">
      <c r="A337">
        <v>1</v>
      </c>
      <c r="B337">
        <v>34</v>
      </c>
      <c r="C337">
        <v>10</v>
      </c>
      <c r="D337">
        <v>2400</v>
      </c>
      <c r="E337">
        <v>23</v>
      </c>
      <c r="F337">
        <v>7</v>
      </c>
      <c r="G337">
        <v>8.033098304644227</v>
      </c>
      <c r="H337" t="s">
        <v>259</v>
      </c>
      <c r="I337" t="s">
        <v>35</v>
      </c>
      <c r="J337">
        <v>0</v>
      </c>
      <c r="K337">
        <v>80</v>
      </c>
      <c r="L337" t="s">
        <v>205</v>
      </c>
      <c r="M337">
        <v>2645</v>
      </c>
      <c r="N337">
        <v>3.4918348714709282</v>
      </c>
      <c r="O337">
        <v>10.26293135620654</v>
      </c>
      <c r="P337">
        <v>4.5533479116857052</v>
      </c>
      <c r="Q337">
        <v>11.72306476626545</v>
      </c>
      <c r="R337">
        <v>10</v>
      </c>
      <c r="S337" t="s">
        <v>196</v>
      </c>
      <c r="T337">
        <v>2017</v>
      </c>
      <c r="U337" s="1">
        <v>45901.600802198707</v>
      </c>
      <c r="V337" t="s">
        <v>32</v>
      </c>
      <c r="W337" t="s">
        <v>97</v>
      </c>
      <c r="X337">
        <v>0.97438048184473847</v>
      </c>
      <c r="Y337">
        <v>0.87139478872716458</v>
      </c>
      <c r="Z337">
        <v>-0.26293135620653629</v>
      </c>
      <c r="AA337">
        <v>2.7221172022684308</v>
      </c>
      <c r="AB337">
        <v>0.34921127488037362</v>
      </c>
    </row>
    <row r="338" spans="1:28" x14ac:dyDescent="0.25">
      <c r="A338">
        <v>13</v>
      </c>
      <c r="B338">
        <v>34</v>
      </c>
      <c r="C338">
        <v>36</v>
      </c>
      <c r="D338">
        <v>2097</v>
      </c>
      <c r="E338">
        <v>93</v>
      </c>
      <c r="F338">
        <v>32</v>
      </c>
      <c r="G338">
        <v>22.28088720142841</v>
      </c>
      <c r="H338" t="s">
        <v>197</v>
      </c>
      <c r="I338" t="s">
        <v>29</v>
      </c>
      <c r="J338">
        <v>0</v>
      </c>
      <c r="K338">
        <v>170</v>
      </c>
      <c r="L338" t="s">
        <v>198</v>
      </c>
      <c r="M338">
        <v>2704</v>
      </c>
      <c r="N338">
        <v>15.335163585841659</v>
      </c>
      <c r="O338">
        <v>25.997147038578991</v>
      </c>
      <c r="P338">
        <v>10.69879994727671</v>
      </c>
      <c r="Q338">
        <v>38.459866121411324</v>
      </c>
      <c r="R338">
        <v>3</v>
      </c>
      <c r="S338" t="s">
        <v>196</v>
      </c>
      <c r="T338">
        <v>2018</v>
      </c>
      <c r="U338" s="1">
        <v>45901.600802198707</v>
      </c>
      <c r="V338" t="s">
        <v>32</v>
      </c>
      <c r="W338" t="s">
        <v>107</v>
      </c>
      <c r="X338">
        <v>1.3847673341454381</v>
      </c>
      <c r="Y338">
        <v>1.436208518570504</v>
      </c>
      <c r="Z338">
        <v>10.002852961421009</v>
      </c>
      <c r="AA338">
        <v>5.6582840236686396</v>
      </c>
      <c r="AB338">
        <v>0.86528965734915264</v>
      </c>
    </row>
    <row r="339" spans="1:28" x14ac:dyDescent="0.25">
      <c r="A339">
        <v>6</v>
      </c>
      <c r="B339">
        <v>33</v>
      </c>
      <c r="C339">
        <v>21</v>
      </c>
      <c r="D339">
        <v>2098</v>
      </c>
      <c r="E339">
        <v>47</v>
      </c>
      <c r="F339">
        <v>17</v>
      </c>
      <c r="G339">
        <v>21.421443376690149</v>
      </c>
      <c r="H339" t="s">
        <v>208</v>
      </c>
      <c r="I339" t="s">
        <v>29</v>
      </c>
      <c r="J339">
        <v>0</v>
      </c>
      <c r="K339">
        <v>112</v>
      </c>
      <c r="L339" t="s">
        <v>198</v>
      </c>
      <c r="M339">
        <v>2832</v>
      </c>
      <c r="N339">
        <v>7.3233904242515564</v>
      </c>
      <c r="O339">
        <v>24.39443144574761</v>
      </c>
      <c r="P339">
        <v>12.37810176424682</v>
      </c>
      <c r="Q339">
        <v>36.808277992531657</v>
      </c>
      <c r="R339">
        <v>5</v>
      </c>
      <c r="S339" t="s">
        <v>196</v>
      </c>
      <c r="T339">
        <v>2018</v>
      </c>
      <c r="U339" s="1">
        <v>45901.600802198707</v>
      </c>
      <c r="V339" t="s">
        <v>32</v>
      </c>
      <c r="W339" t="s">
        <v>107</v>
      </c>
      <c r="X339">
        <v>0.86085220090918246</v>
      </c>
      <c r="Y339">
        <v>0.79359731746641471</v>
      </c>
      <c r="Z339">
        <v>-3.3944314457476099</v>
      </c>
      <c r="AA339">
        <v>3.5593220338983049</v>
      </c>
      <c r="AB339">
        <v>0.77524676204706378</v>
      </c>
    </row>
    <row r="340" spans="1:28" x14ac:dyDescent="0.25">
      <c r="A340">
        <v>6</v>
      </c>
      <c r="B340">
        <v>36</v>
      </c>
      <c r="C340">
        <v>21</v>
      </c>
      <c r="D340">
        <v>2370</v>
      </c>
      <c r="E340">
        <v>48</v>
      </c>
      <c r="F340">
        <v>18</v>
      </c>
      <c r="G340">
        <v>16.43950925022364</v>
      </c>
      <c r="H340" t="s">
        <v>209</v>
      </c>
      <c r="I340" t="s">
        <v>29</v>
      </c>
      <c r="J340">
        <v>0</v>
      </c>
      <c r="K340">
        <v>104</v>
      </c>
      <c r="L340" t="s">
        <v>195</v>
      </c>
      <c r="M340">
        <v>2972</v>
      </c>
      <c r="N340">
        <v>6.1459207385778427</v>
      </c>
      <c r="O340">
        <v>18.669335253536701</v>
      </c>
      <c r="P340">
        <v>8.0291140517219901</v>
      </c>
      <c r="Q340">
        <v>27.201738752424721</v>
      </c>
      <c r="R340">
        <v>1</v>
      </c>
      <c r="S340" t="s">
        <v>196</v>
      </c>
      <c r="T340">
        <v>2018</v>
      </c>
      <c r="U340" s="1">
        <v>45901.600802198707</v>
      </c>
      <c r="V340" t="s">
        <v>32</v>
      </c>
      <c r="W340" t="s">
        <v>107</v>
      </c>
      <c r="X340">
        <v>1.124839192976717</v>
      </c>
      <c r="Y340">
        <v>1.094923195457014</v>
      </c>
      <c r="Z340">
        <v>2.3306647464632988</v>
      </c>
      <c r="AA340">
        <v>3.1493943472409152</v>
      </c>
      <c r="AB340">
        <v>0.56535672032917339</v>
      </c>
    </row>
    <row r="341" spans="1:28" x14ac:dyDescent="0.25">
      <c r="A341">
        <v>6</v>
      </c>
      <c r="B341">
        <v>27</v>
      </c>
      <c r="C341">
        <v>20</v>
      </c>
      <c r="D341">
        <v>2290</v>
      </c>
      <c r="E341">
        <v>56</v>
      </c>
      <c r="F341">
        <v>15</v>
      </c>
      <c r="G341">
        <v>8.753914549946785</v>
      </c>
      <c r="H341" t="s">
        <v>236</v>
      </c>
      <c r="I341" t="s">
        <v>35</v>
      </c>
      <c r="J341">
        <v>0</v>
      </c>
      <c r="K341">
        <v>70</v>
      </c>
      <c r="L341" t="s">
        <v>215</v>
      </c>
      <c r="M341">
        <v>2268</v>
      </c>
      <c r="N341">
        <v>6.6233748700469732</v>
      </c>
      <c r="O341">
        <v>12.470303766429421</v>
      </c>
      <c r="P341">
        <v>5.8646330162882796</v>
      </c>
      <c r="Q341">
        <v>18.5738809928298</v>
      </c>
      <c r="R341">
        <v>5</v>
      </c>
      <c r="S341" t="s">
        <v>196</v>
      </c>
      <c r="T341">
        <v>2018</v>
      </c>
      <c r="U341" s="1">
        <v>45901.600802198707</v>
      </c>
      <c r="V341" t="s">
        <v>32</v>
      </c>
      <c r="W341" t="s">
        <v>107</v>
      </c>
      <c r="X341">
        <v>1.6038101697122109</v>
      </c>
      <c r="Y341">
        <v>1.7135191250057591</v>
      </c>
      <c r="Z341">
        <v>7.5296962335705757</v>
      </c>
      <c r="AA341">
        <v>2.7777777777777781</v>
      </c>
      <c r="AB341">
        <v>0.49485332406465971</v>
      </c>
    </row>
    <row r="342" spans="1:28" x14ac:dyDescent="0.25">
      <c r="A342">
        <v>0</v>
      </c>
      <c r="B342">
        <v>32</v>
      </c>
      <c r="C342">
        <v>19</v>
      </c>
      <c r="D342">
        <v>1709</v>
      </c>
      <c r="E342">
        <v>14</v>
      </c>
      <c r="F342">
        <v>14</v>
      </c>
      <c r="G342">
        <v>10.686555173248051</v>
      </c>
      <c r="H342" t="s">
        <v>219</v>
      </c>
      <c r="I342" t="s">
        <v>29</v>
      </c>
      <c r="J342">
        <v>0</v>
      </c>
      <c r="K342">
        <v>79</v>
      </c>
      <c r="L342" t="s">
        <v>262</v>
      </c>
      <c r="M342">
        <v>2736</v>
      </c>
      <c r="N342">
        <v>0.64001540280878544</v>
      </c>
      <c r="O342">
        <v>14.402691129595039</v>
      </c>
      <c r="P342">
        <v>4.3936122637242079</v>
      </c>
      <c r="Q342">
        <v>12.93404221907258</v>
      </c>
      <c r="R342">
        <v>9</v>
      </c>
      <c r="S342" t="s">
        <v>196</v>
      </c>
      <c r="T342">
        <v>2018</v>
      </c>
      <c r="U342" s="1">
        <v>45901.600802198707</v>
      </c>
      <c r="V342" t="s">
        <v>32</v>
      </c>
      <c r="W342" t="s">
        <v>107</v>
      </c>
      <c r="X342">
        <v>1.319197907463161</v>
      </c>
      <c r="Y342">
        <v>1.3100573358800021</v>
      </c>
      <c r="Z342">
        <v>4.5973088704049614</v>
      </c>
      <c r="AA342">
        <v>2.598684210526315</v>
      </c>
      <c r="AB342">
        <v>0.47377273452615259</v>
      </c>
    </row>
    <row r="343" spans="1:28" x14ac:dyDescent="0.25">
      <c r="A343">
        <v>9</v>
      </c>
      <c r="B343">
        <v>35</v>
      </c>
      <c r="C343">
        <v>18</v>
      </c>
      <c r="D343">
        <v>3210</v>
      </c>
      <c r="E343">
        <v>45</v>
      </c>
      <c r="F343">
        <v>16</v>
      </c>
      <c r="G343">
        <v>17.431323699653149</v>
      </c>
      <c r="H343" t="s">
        <v>254</v>
      </c>
      <c r="I343" t="s">
        <v>29</v>
      </c>
      <c r="J343">
        <v>0</v>
      </c>
      <c r="K343">
        <v>76</v>
      </c>
      <c r="L343" t="s">
        <v>203</v>
      </c>
      <c r="M343">
        <v>2823</v>
      </c>
      <c r="N343">
        <v>7.8724457360804081</v>
      </c>
      <c r="O343">
        <v>18.917880021035671</v>
      </c>
      <c r="P343">
        <v>9.9560665935277939</v>
      </c>
      <c r="Q343">
        <v>28.54436095058918</v>
      </c>
      <c r="R343">
        <v>4</v>
      </c>
      <c r="S343" t="s">
        <v>196</v>
      </c>
      <c r="T343">
        <v>2018</v>
      </c>
      <c r="U343" s="1">
        <v>45901.600802198707</v>
      </c>
      <c r="V343" t="s">
        <v>32</v>
      </c>
      <c r="W343" t="s">
        <v>107</v>
      </c>
      <c r="X343">
        <v>0.95148082026024916</v>
      </c>
      <c r="Y343">
        <v>0.91788783661440299</v>
      </c>
      <c r="Z343">
        <v>-0.91788002103567123</v>
      </c>
      <c r="AA343">
        <v>2.422954303931987</v>
      </c>
      <c r="AB343">
        <v>0.6031205107662807</v>
      </c>
    </row>
    <row r="344" spans="1:28" x14ac:dyDescent="0.25">
      <c r="A344">
        <v>3</v>
      </c>
      <c r="B344">
        <v>37</v>
      </c>
      <c r="C344">
        <v>17</v>
      </c>
      <c r="D344">
        <v>2543</v>
      </c>
      <c r="E344">
        <v>41</v>
      </c>
      <c r="F344">
        <v>14</v>
      </c>
      <c r="G344">
        <v>13.61311166547239</v>
      </c>
      <c r="H344" t="s">
        <v>273</v>
      </c>
      <c r="I344" t="s">
        <v>29</v>
      </c>
      <c r="J344">
        <v>0</v>
      </c>
      <c r="K344">
        <v>89</v>
      </c>
      <c r="L344" t="s">
        <v>213</v>
      </c>
      <c r="M344">
        <v>3095</v>
      </c>
      <c r="N344">
        <v>4.8241517888382077</v>
      </c>
      <c r="O344">
        <v>15.842946114018559</v>
      </c>
      <c r="P344">
        <v>3.160459659993649</v>
      </c>
      <c r="Q344">
        <v>19.680519981309772</v>
      </c>
      <c r="R344">
        <v>5</v>
      </c>
      <c r="S344" t="s">
        <v>196</v>
      </c>
      <c r="T344">
        <v>2018</v>
      </c>
      <c r="U344" s="1">
        <v>45901.600802198707</v>
      </c>
      <c r="V344" t="s">
        <v>32</v>
      </c>
      <c r="W344" t="s">
        <v>107</v>
      </c>
      <c r="X344">
        <v>1.073032747675486</v>
      </c>
      <c r="Y344">
        <v>1.028420271869869</v>
      </c>
      <c r="Z344">
        <v>1.157053885981441</v>
      </c>
      <c r="AA344">
        <v>2.588045234248789</v>
      </c>
      <c r="AB344">
        <v>0.46069956389714711</v>
      </c>
    </row>
    <row r="345" spans="1:28" x14ac:dyDescent="0.25">
      <c r="A345">
        <v>8</v>
      </c>
      <c r="B345">
        <v>37</v>
      </c>
      <c r="C345">
        <v>15</v>
      </c>
      <c r="D345">
        <v>2270</v>
      </c>
      <c r="E345">
        <v>74</v>
      </c>
      <c r="F345">
        <v>12</v>
      </c>
      <c r="G345">
        <v>12.380149552598599</v>
      </c>
      <c r="H345" t="s">
        <v>200</v>
      </c>
      <c r="I345" t="s">
        <v>49</v>
      </c>
      <c r="J345">
        <v>0</v>
      </c>
      <c r="K345">
        <v>113</v>
      </c>
      <c r="L345" t="s">
        <v>201</v>
      </c>
      <c r="M345">
        <v>3213</v>
      </c>
      <c r="N345">
        <v>8.8380927871912718</v>
      </c>
      <c r="O345">
        <v>14.60984549112618</v>
      </c>
      <c r="P345">
        <v>8.5634755864739418</v>
      </c>
      <c r="Q345">
        <v>20.534600356593732</v>
      </c>
      <c r="R345">
        <v>5</v>
      </c>
      <c r="S345" t="s">
        <v>196</v>
      </c>
      <c r="T345">
        <v>2018</v>
      </c>
      <c r="U345" s="1">
        <v>45901.600802198707</v>
      </c>
      <c r="V345" t="s">
        <v>32</v>
      </c>
      <c r="W345" t="s">
        <v>107</v>
      </c>
      <c r="X345">
        <v>1.026704903149783</v>
      </c>
      <c r="Y345">
        <v>0.96929362194022917</v>
      </c>
      <c r="Z345">
        <v>0.3901545088738203</v>
      </c>
      <c r="AA345">
        <v>3.1652661064425769</v>
      </c>
      <c r="AB345">
        <v>0.40923936949933282</v>
      </c>
    </row>
    <row r="346" spans="1:28" x14ac:dyDescent="0.25">
      <c r="A346">
        <v>5</v>
      </c>
      <c r="B346">
        <v>38</v>
      </c>
      <c r="C346">
        <v>14</v>
      </c>
      <c r="D346">
        <v>2155</v>
      </c>
      <c r="E346">
        <v>44</v>
      </c>
      <c r="F346">
        <v>12</v>
      </c>
      <c r="G346">
        <v>9.9436128782108444</v>
      </c>
      <c r="H346" t="s">
        <v>274</v>
      </c>
      <c r="I346" t="s">
        <v>29</v>
      </c>
      <c r="J346">
        <v>0</v>
      </c>
      <c r="K346">
        <v>57</v>
      </c>
      <c r="L346" t="s">
        <v>266</v>
      </c>
      <c r="M346">
        <v>2657</v>
      </c>
      <c r="N346">
        <v>6.8675431106239557</v>
      </c>
      <c r="O346">
        <v>11.42651790846139</v>
      </c>
      <c r="P346">
        <v>3.672793440520763</v>
      </c>
      <c r="Q346">
        <v>16.507727846503261</v>
      </c>
      <c r="R346">
        <v>2</v>
      </c>
      <c r="S346" t="s">
        <v>196</v>
      </c>
      <c r="T346">
        <v>2018</v>
      </c>
      <c r="U346" s="1">
        <v>45901.600802198707</v>
      </c>
      <c r="V346" t="s">
        <v>32</v>
      </c>
      <c r="W346" t="s">
        <v>107</v>
      </c>
      <c r="X346">
        <v>1.2252201512442329</v>
      </c>
      <c r="Y346">
        <v>1.2068048250646659</v>
      </c>
      <c r="Z346">
        <v>2.5734820915386081</v>
      </c>
      <c r="AA346">
        <v>1.930748964998118</v>
      </c>
      <c r="AB346">
        <v>0.38704802851393499</v>
      </c>
    </row>
    <row r="347" spans="1:28" x14ac:dyDescent="0.25">
      <c r="A347">
        <v>1</v>
      </c>
      <c r="B347">
        <v>34</v>
      </c>
      <c r="C347">
        <v>14</v>
      </c>
      <c r="D347">
        <v>2339</v>
      </c>
      <c r="E347">
        <v>15</v>
      </c>
      <c r="F347">
        <v>8</v>
      </c>
      <c r="G347">
        <v>7.5879700416699052</v>
      </c>
      <c r="H347" t="s">
        <v>241</v>
      </c>
      <c r="I347" t="s">
        <v>29</v>
      </c>
      <c r="J347">
        <v>0</v>
      </c>
      <c r="K347">
        <v>63</v>
      </c>
      <c r="L347" t="s">
        <v>230</v>
      </c>
      <c r="M347">
        <v>1732</v>
      </c>
      <c r="N347">
        <v>1.553940103389323</v>
      </c>
      <c r="O347">
        <v>12.7909112656489</v>
      </c>
      <c r="P347">
        <v>2.588355286046863</v>
      </c>
      <c r="Q347">
        <v>10.08357111644</v>
      </c>
      <c r="R347">
        <v>4</v>
      </c>
      <c r="S347" t="s">
        <v>196</v>
      </c>
      <c r="T347">
        <v>2018</v>
      </c>
      <c r="U347" s="1">
        <v>45901.600802198707</v>
      </c>
      <c r="V347" t="s">
        <v>32</v>
      </c>
      <c r="W347" t="s">
        <v>107</v>
      </c>
      <c r="X347">
        <v>1.0945271770900491</v>
      </c>
      <c r="Y347">
        <v>1.0543004197522401</v>
      </c>
      <c r="Z347">
        <v>1.2090887343511001</v>
      </c>
      <c r="AA347">
        <v>3.273672055427252</v>
      </c>
      <c r="AB347">
        <v>0.66465474244134004</v>
      </c>
    </row>
    <row r="348" spans="1:28" x14ac:dyDescent="0.25">
      <c r="A348">
        <v>1</v>
      </c>
      <c r="B348">
        <v>33</v>
      </c>
      <c r="C348">
        <v>14</v>
      </c>
      <c r="D348">
        <v>4229</v>
      </c>
      <c r="E348">
        <v>19</v>
      </c>
      <c r="F348">
        <v>14</v>
      </c>
      <c r="G348">
        <v>15.14599903021008</v>
      </c>
      <c r="H348" t="s">
        <v>275</v>
      </c>
      <c r="I348" t="s">
        <v>29</v>
      </c>
      <c r="J348">
        <v>0</v>
      </c>
      <c r="K348">
        <v>115</v>
      </c>
      <c r="L348" t="s">
        <v>207</v>
      </c>
      <c r="M348">
        <v>2822</v>
      </c>
      <c r="N348">
        <v>1.7256915150210259</v>
      </c>
      <c r="O348">
        <v>15.14599903021008</v>
      </c>
      <c r="P348">
        <v>2.3896287586539979</v>
      </c>
      <c r="Q348">
        <v>16.361453350633379</v>
      </c>
      <c r="R348">
        <v>5</v>
      </c>
      <c r="S348" t="s">
        <v>196</v>
      </c>
      <c r="T348">
        <v>2018</v>
      </c>
      <c r="U348" s="1">
        <v>45901.600802198707</v>
      </c>
      <c r="V348" t="s">
        <v>32</v>
      </c>
      <c r="W348" t="s">
        <v>107</v>
      </c>
      <c r="X348">
        <v>0.92433651765563452</v>
      </c>
      <c r="Y348">
        <v>0.92433651765563452</v>
      </c>
      <c r="Z348">
        <v>-1.145999030210078</v>
      </c>
      <c r="AA348">
        <v>3.667611622962438</v>
      </c>
      <c r="AB348">
        <v>0.48304036595283739</v>
      </c>
    </row>
    <row r="349" spans="1:28" x14ac:dyDescent="0.25">
      <c r="A349">
        <v>6</v>
      </c>
      <c r="B349">
        <v>34</v>
      </c>
      <c r="C349">
        <v>14</v>
      </c>
      <c r="D349">
        <v>7009</v>
      </c>
      <c r="E349">
        <v>19</v>
      </c>
      <c r="F349">
        <v>10</v>
      </c>
      <c r="G349">
        <v>9.5815822575241327</v>
      </c>
      <c r="H349" t="s">
        <v>276</v>
      </c>
      <c r="I349" t="s">
        <v>35</v>
      </c>
      <c r="J349">
        <v>0</v>
      </c>
      <c r="K349">
        <v>59</v>
      </c>
      <c r="L349" t="s">
        <v>266</v>
      </c>
      <c r="M349">
        <v>2450</v>
      </c>
      <c r="N349">
        <v>2.7390333693474531</v>
      </c>
      <c r="O349">
        <v>12.55469438619912</v>
      </c>
      <c r="P349">
        <v>2.8516535665839911</v>
      </c>
      <c r="Q349">
        <v>12.74275522492826</v>
      </c>
      <c r="R349">
        <v>10</v>
      </c>
      <c r="S349" t="s">
        <v>196</v>
      </c>
      <c r="T349">
        <v>2018</v>
      </c>
      <c r="U349" s="1">
        <v>45901.600802198707</v>
      </c>
      <c r="V349" t="s">
        <v>32</v>
      </c>
      <c r="W349" t="s">
        <v>107</v>
      </c>
      <c r="X349">
        <v>1.1151207324799279</v>
      </c>
      <c r="Y349">
        <v>1.0436689610577941</v>
      </c>
      <c r="Z349">
        <v>1.4453056138008831</v>
      </c>
      <c r="AA349">
        <v>2.16734693877551</v>
      </c>
      <c r="AB349">
        <v>0.46119285500323293</v>
      </c>
    </row>
    <row r="350" spans="1:28" x14ac:dyDescent="0.25">
      <c r="A350">
        <v>2</v>
      </c>
      <c r="B350">
        <v>37</v>
      </c>
      <c r="C350">
        <v>13</v>
      </c>
      <c r="D350">
        <v>2234</v>
      </c>
      <c r="E350">
        <v>45</v>
      </c>
      <c r="F350">
        <v>10</v>
      </c>
      <c r="G350">
        <v>8.7996098604053259</v>
      </c>
      <c r="H350" t="s">
        <v>267</v>
      </c>
      <c r="I350" t="s">
        <v>35</v>
      </c>
      <c r="J350">
        <v>0</v>
      </c>
      <c r="K350">
        <v>66</v>
      </c>
      <c r="L350" t="s">
        <v>238</v>
      </c>
      <c r="M350">
        <v>3168</v>
      </c>
      <c r="N350">
        <v>4.9378208080306649</v>
      </c>
      <c r="O350">
        <v>11.02931932546198</v>
      </c>
      <c r="P350">
        <v>4.4422651315107942</v>
      </c>
      <c r="Q350">
        <v>16.335083423182368</v>
      </c>
      <c r="R350">
        <v>2</v>
      </c>
      <c r="S350" t="s">
        <v>196</v>
      </c>
      <c r="T350">
        <v>2018</v>
      </c>
      <c r="U350" s="1">
        <v>45901.600802198707</v>
      </c>
      <c r="V350" t="s">
        <v>32</v>
      </c>
      <c r="W350" t="s">
        <v>107</v>
      </c>
      <c r="X350">
        <v>1.1786765453411581</v>
      </c>
      <c r="Y350">
        <v>1.1364140181936859</v>
      </c>
      <c r="Z350">
        <v>1.9706806745380161</v>
      </c>
      <c r="AA350">
        <v>1.875</v>
      </c>
      <c r="AB350">
        <v>0.31333293538244272</v>
      </c>
    </row>
    <row r="351" spans="1:28" x14ac:dyDescent="0.25">
      <c r="A351">
        <v>4</v>
      </c>
      <c r="B351">
        <v>38</v>
      </c>
      <c r="C351">
        <v>13</v>
      </c>
      <c r="D351">
        <v>2399</v>
      </c>
      <c r="E351">
        <v>30</v>
      </c>
      <c r="F351">
        <v>13</v>
      </c>
      <c r="G351">
        <v>13.37023990601301</v>
      </c>
      <c r="H351" t="s">
        <v>277</v>
      </c>
      <c r="I351" t="s">
        <v>35</v>
      </c>
      <c r="J351">
        <v>0</v>
      </c>
      <c r="K351">
        <v>75</v>
      </c>
      <c r="L351" t="s">
        <v>205</v>
      </c>
      <c r="M351">
        <v>3055</v>
      </c>
      <c r="N351">
        <v>3.643497109413147</v>
      </c>
      <c r="O351">
        <v>13.37023990601301</v>
      </c>
      <c r="P351">
        <v>4.1140863224864006</v>
      </c>
      <c r="Q351">
        <v>19.53979219682515</v>
      </c>
      <c r="R351">
        <v>3</v>
      </c>
      <c r="S351" t="s">
        <v>196</v>
      </c>
      <c r="T351">
        <v>2018</v>
      </c>
      <c r="U351" s="1">
        <v>45901.600802198707</v>
      </c>
      <c r="V351" t="s">
        <v>32</v>
      </c>
      <c r="W351" t="s">
        <v>107</v>
      </c>
      <c r="X351">
        <v>0.97230865649265552</v>
      </c>
      <c r="Y351">
        <v>0.97230865649265552</v>
      </c>
      <c r="Z351">
        <v>-0.37023990601301188</v>
      </c>
      <c r="AA351">
        <v>2.2094926350245498</v>
      </c>
      <c r="AB351">
        <v>0.39388595467796111</v>
      </c>
    </row>
    <row r="352" spans="1:28" x14ac:dyDescent="0.25">
      <c r="A352">
        <v>0</v>
      </c>
      <c r="B352">
        <v>31</v>
      </c>
      <c r="C352">
        <v>13</v>
      </c>
      <c r="D352">
        <v>2566</v>
      </c>
      <c r="E352">
        <v>15</v>
      </c>
      <c r="F352">
        <v>11</v>
      </c>
      <c r="G352">
        <v>11.33088053204119</v>
      </c>
      <c r="H352" t="s">
        <v>278</v>
      </c>
      <c r="I352" t="s">
        <v>29</v>
      </c>
      <c r="J352">
        <v>0</v>
      </c>
      <c r="K352">
        <v>70</v>
      </c>
      <c r="L352" t="s">
        <v>223</v>
      </c>
      <c r="M352">
        <v>1911</v>
      </c>
      <c r="N352">
        <v>1.056754609569907</v>
      </c>
      <c r="O352">
        <v>12.81743558682501</v>
      </c>
      <c r="P352">
        <v>1.0375895947217939</v>
      </c>
      <c r="Q352">
        <v>11.1296332385391</v>
      </c>
      <c r="R352">
        <v>4</v>
      </c>
      <c r="S352" t="s">
        <v>196</v>
      </c>
      <c r="T352">
        <v>2018</v>
      </c>
      <c r="U352" s="1">
        <v>45901.600802198707</v>
      </c>
      <c r="V352" t="s">
        <v>32</v>
      </c>
      <c r="W352" t="s">
        <v>107</v>
      </c>
      <c r="X352">
        <v>1.0142434429990539</v>
      </c>
      <c r="Y352">
        <v>0.97079833900767587</v>
      </c>
      <c r="Z352">
        <v>0.18256441317498859</v>
      </c>
      <c r="AA352">
        <v>3.296703296703297</v>
      </c>
      <c r="AB352">
        <v>0.60364688791954524</v>
      </c>
    </row>
    <row r="353" spans="1:28" x14ac:dyDescent="0.25">
      <c r="A353">
        <v>5</v>
      </c>
      <c r="B353">
        <v>35</v>
      </c>
      <c r="C353">
        <v>13</v>
      </c>
      <c r="D353">
        <v>6124</v>
      </c>
      <c r="E353">
        <v>31</v>
      </c>
      <c r="F353">
        <v>12</v>
      </c>
      <c r="G353">
        <v>11.73170397616923</v>
      </c>
      <c r="H353" t="s">
        <v>263</v>
      </c>
      <c r="I353" t="s">
        <v>29</v>
      </c>
      <c r="J353">
        <v>1</v>
      </c>
      <c r="K353">
        <v>81</v>
      </c>
      <c r="L353" t="s">
        <v>215</v>
      </c>
      <c r="M353">
        <v>2962</v>
      </c>
      <c r="N353">
        <v>2.978561207652092</v>
      </c>
      <c r="O353">
        <v>12.47498098947108</v>
      </c>
      <c r="P353">
        <v>2.383694918826222</v>
      </c>
      <c r="Q353">
        <v>15.201250120997431</v>
      </c>
      <c r="R353">
        <v>4</v>
      </c>
      <c r="S353" t="s">
        <v>196</v>
      </c>
      <c r="T353">
        <v>2018</v>
      </c>
      <c r="U353" s="1">
        <v>45901.600802198707</v>
      </c>
      <c r="V353" t="s">
        <v>32</v>
      </c>
      <c r="W353" t="s">
        <v>107</v>
      </c>
      <c r="X353">
        <v>1.042085756360835</v>
      </c>
      <c r="Y353">
        <v>1.0228693141572409</v>
      </c>
      <c r="Z353">
        <v>0.52501901052892208</v>
      </c>
      <c r="AA353">
        <v>2.4611748818365968</v>
      </c>
      <c r="AB353">
        <v>0.37905073904537367</v>
      </c>
    </row>
    <row r="354" spans="1:28" x14ac:dyDescent="0.25">
      <c r="A354">
        <v>13</v>
      </c>
      <c r="B354">
        <v>33</v>
      </c>
      <c r="C354">
        <v>12</v>
      </c>
      <c r="D354">
        <v>2199</v>
      </c>
      <c r="E354">
        <v>67</v>
      </c>
      <c r="F354">
        <v>11</v>
      </c>
      <c r="G354">
        <v>11.25266507640481</v>
      </c>
      <c r="H354" t="s">
        <v>279</v>
      </c>
      <c r="I354" t="s">
        <v>35</v>
      </c>
      <c r="J354">
        <v>0</v>
      </c>
      <c r="K354">
        <v>74</v>
      </c>
      <c r="L354" t="s">
        <v>203</v>
      </c>
      <c r="M354">
        <v>2731</v>
      </c>
      <c r="N354">
        <v>11.321492685005071</v>
      </c>
      <c r="O354">
        <v>11.99594405665994</v>
      </c>
      <c r="P354">
        <v>10.431672957725819</v>
      </c>
      <c r="Q354">
        <v>27.672321036458008</v>
      </c>
      <c r="R354">
        <v>9</v>
      </c>
      <c r="S354" t="s">
        <v>196</v>
      </c>
      <c r="T354">
        <v>2018</v>
      </c>
      <c r="U354" s="1">
        <v>45901.600802198707</v>
      </c>
      <c r="V354" t="s">
        <v>32</v>
      </c>
      <c r="W354" t="s">
        <v>107</v>
      </c>
      <c r="X354">
        <v>1.000338109557773</v>
      </c>
      <c r="Y354">
        <v>0.97754620130527015</v>
      </c>
      <c r="Z354">
        <v>4.0559433400648706E-3</v>
      </c>
      <c r="AA354">
        <v>2.4386671548883192</v>
      </c>
      <c r="AB354">
        <v>0.39532587517370721</v>
      </c>
    </row>
    <row r="355" spans="1:28" x14ac:dyDescent="0.25">
      <c r="A355">
        <v>5</v>
      </c>
      <c r="B355">
        <v>31</v>
      </c>
      <c r="C355">
        <v>12</v>
      </c>
      <c r="D355">
        <v>2361</v>
      </c>
      <c r="E355">
        <v>37</v>
      </c>
      <c r="F355">
        <v>7</v>
      </c>
      <c r="G355">
        <v>6.1889364970847964</v>
      </c>
      <c r="H355" t="s">
        <v>250</v>
      </c>
      <c r="I355" t="s">
        <v>29</v>
      </c>
      <c r="J355">
        <v>1</v>
      </c>
      <c r="K355">
        <v>55</v>
      </c>
      <c r="L355" t="s">
        <v>238</v>
      </c>
      <c r="M355">
        <v>2376</v>
      </c>
      <c r="N355">
        <v>4.1221032477915287</v>
      </c>
      <c r="O355">
        <v>11.39187922794372</v>
      </c>
      <c r="P355">
        <v>4.5030024796724319</v>
      </c>
      <c r="Q355">
        <v>13.28283991292119</v>
      </c>
      <c r="R355">
        <v>5</v>
      </c>
      <c r="S355" t="s">
        <v>196</v>
      </c>
      <c r="T355">
        <v>2018</v>
      </c>
      <c r="U355" s="1">
        <v>45901.600802198707</v>
      </c>
      <c r="V355" t="s">
        <v>32</v>
      </c>
      <c r="W355" t="s">
        <v>107</v>
      </c>
      <c r="X355">
        <v>1.053381953924212</v>
      </c>
      <c r="Y355">
        <v>1.1310505453234561</v>
      </c>
      <c r="Z355">
        <v>0.60812077205628157</v>
      </c>
      <c r="AA355">
        <v>2.083333333333333</v>
      </c>
      <c r="AB355">
        <v>0.43151057681604987</v>
      </c>
    </row>
    <row r="356" spans="1:28" x14ac:dyDescent="0.25">
      <c r="A356">
        <v>1</v>
      </c>
      <c r="B356">
        <v>34</v>
      </c>
      <c r="C356">
        <v>10</v>
      </c>
      <c r="D356">
        <v>5657</v>
      </c>
      <c r="E356">
        <v>26</v>
      </c>
      <c r="F356">
        <v>10</v>
      </c>
      <c r="G356">
        <v>9.8712897002697009</v>
      </c>
      <c r="H356" t="s">
        <v>280</v>
      </c>
      <c r="I356" t="s">
        <v>35</v>
      </c>
      <c r="J356">
        <v>0</v>
      </c>
      <c r="K356">
        <v>59</v>
      </c>
      <c r="L356" t="s">
        <v>221</v>
      </c>
      <c r="M356">
        <v>2147</v>
      </c>
      <c r="N356">
        <v>2.1872154213488102</v>
      </c>
      <c r="O356">
        <v>10.61456871032715</v>
      </c>
      <c r="P356">
        <v>1.927938973531127</v>
      </c>
      <c r="Q356">
        <v>11.669784445315599</v>
      </c>
      <c r="R356">
        <v>5</v>
      </c>
      <c r="S356" t="s">
        <v>196</v>
      </c>
      <c r="T356">
        <v>2018</v>
      </c>
      <c r="U356" s="1">
        <v>45901.600802198707</v>
      </c>
      <c r="V356" t="s">
        <v>32</v>
      </c>
      <c r="W356" t="s">
        <v>107</v>
      </c>
      <c r="X356">
        <v>0.94210139600592335</v>
      </c>
      <c r="Y356">
        <v>1.013038853446554</v>
      </c>
      <c r="Z356">
        <v>-0.61456871032714844</v>
      </c>
      <c r="AA356">
        <v>2.4732184443409411</v>
      </c>
      <c r="AB356">
        <v>0.44495164598483622</v>
      </c>
    </row>
    <row r="357" spans="1:28" x14ac:dyDescent="0.25">
      <c r="A357">
        <v>2</v>
      </c>
      <c r="B357">
        <v>34</v>
      </c>
      <c r="C357">
        <v>10</v>
      </c>
      <c r="D357">
        <v>6955</v>
      </c>
      <c r="E357">
        <v>21</v>
      </c>
      <c r="F357">
        <v>9</v>
      </c>
      <c r="G357">
        <v>6.2532015899196267</v>
      </c>
      <c r="H357" t="s">
        <v>281</v>
      </c>
      <c r="I357" t="s">
        <v>35</v>
      </c>
      <c r="J357">
        <v>1</v>
      </c>
      <c r="K357">
        <v>89</v>
      </c>
      <c r="L357" t="s">
        <v>282</v>
      </c>
      <c r="M357">
        <v>1991</v>
      </c>
      <c r="N357">
        <v>3.0184173304587598</v>
      </c>
      <c r="O357">
        <v>6.9964788006618619</v>
      </c>
      <c r="P357">
        <v>2.7192238755524158</v>
      </c>
      <c r="Q357">
        <v>10.49380768928677</v>
      </c>
      <c r="R357">
        <v>10</v>
      </c>
      <c r="S357" t="s">
        <v>196</v>
      </c>
      <c r="T357">
        <v>2018</v>
      </c>
      <c r="U357" s="1">
        <v>45901.600802198707</v>
      </c>
      <c r="V357" t="s">
        <v>32</v>
      </c>
      <c r="W357" t="s">
        <v>107</v>
      </c>
      <c r="X357">
        <v>1.4292904023455351</v>
      </c>
      <c r="Y357">
        <v>1.439262731351618</v>
      </c>
      <c r="Z357">
        <v>3.0035211993381381</v>
      </c>
      <c r="AA357">
        <v>4.0231039678553486</v>
      </c>
      <c r="AB357">
        <v>0.3162647373478491</v>
      </c>
    </row>
    <row r="358" spans="1:28" x14ac:dyDescent="0.25">
      <c r="A358">
        <v>20</v>
      </c>
      <c r="B358">
        <v>33</v>
      </c>
      <c r="C358">
        <v>25</v>
      </c>
      <c r="D358">
        <v>2097</v>
      </c>
      <c r="E358">
        <v>88</v>
      </c>
      <c r="F358">
        <v>20</v>
      </c>
      <c r="G358">
        <v>17.133270878344771</v>
      </c>
      <c r="H358" t="s">
        <v>197</v>
      </c>
      <c r="I358" t="s">
        <v>35</v>
      </c>
      <c r="J358">
        <v>0</v>
      </c>
      <c r="K358">
        <v>159</v>
      </c>
      <c r="L358" t="s">
        <v>198</v>
      </c>
      <c r="M358">
        <v>2876</v>
      </c>
      <c r="N358">
        <v>16.593371644616131</v>
      </c>
      <c r="O358">
        <v>20.849658865481612</v>
      </c>
      <c r="P358">
        <v>13.53766185510904</v>
      </c>
      <c r="Q358">
        <v>34.923477523028851</v>
      </c>
      <c r="R358">
        <v>4</v>
      </c>
      <c r="S358" t="s">
        <v>196</v>
      </c>
      <c r="T358">
        <v>2019</v>
      </c>
      <c r="U358" s="1">
        <v>45901.600802198707</v>
      </c>
      <c r="V358" t="s">
        <v>32</v>
      </c>
      <c r="W358" t="s">
        <v>122</v>
      </c>
      <c r="X358">
        <v>1.1990603856540609</v>
      </c>
      <c r="Y358">
        <v>1.1673194302483461</v>
      </c>
      <c r="Z358">
        <v>4.1503411345183876</v>
      </c>
      <c r="AA358">
        <v>4.9756606397774688</v>
      </c>
      <c r="AB358">
        <v>0.65245803125637858</v>
      </c>
    </row>
    <row r="359" spans="1:28" x14ac:dyDescent="0.25">
      <c r="A359">
        <v>8</v>
      </c>
      <c r="B359">
        <v>37</v>
      </c>
      <c r="C359">
        <v>21</v>
      </c>
      <c r="D359">
        <v>2370</v>
      </c>
      <c r="E359">
        <v>59</v>
      </c>
      <c r="F359">
        <v>16</v>
      </c>
      <c r="G359">
        <v>17.534660462290049</v>
      </c>
      <c r="H359" t="s">
        <v>209</v>
      </c>
      <c r="I359" t="s">
        <v>29</v>
      </c>
      <c r="J359">
        <v>0</v>
      </c>
      <c r="K359">
        <v>124</v>
      </c>
      <c r="L359" t="s">
        <v>195</v>
      </c>
      <c r="M359">
        <v>3176</v>
      </c>
      <c r="N359">
        <v>8.1532618151977658</v>
      </c>
      <c r="O359">
        <v>21.250917490571741</v>
      </c>
      <c r="P359">
        <v>10.84587278775871</v>
      </c>
      <c r="Q359">
        <v>31.533145129680641</v>
      </c>
      <c r="R359">
        <v>0</v>
      </c>
      <c r="S359" t="s">
        <v>196</v>
      </c>
      <c r="T359">
        <v>2019</v>
      </c>
      <c r="U359" s="1">
        <v>45901.600802198707</v>
      </c>
      <c r="V359" t="s">
        <v>32</v>
      </c>
      <c r="W359" t="s">
        <v>122</v>
      </c>
      <c r="X359">
        <v>0.9881926278861578</v>
      </c>
      <c r="Y359">
        <v>0.91247846141130129</v>
      </c>
      <c r="Z359">
        <v>-0.25091749057173729</v>
      </c>
      <c r="AA359">
        <v>3.513853904282116</v>
      </c>
      <c r="AB359">
        <v>0.60219854349856938</v>
      </c>
    </row>
    <row r="360" spans="1:28" x14ac:dyDescent="0.25">
      <c r="A360">
        <v>5</v>
      </c>
      <c r="B360">
        <v>35</v>
      </c>
      <c r="C360">
        <v>18</v>
      </c>
      <c r="D360">
        <v>2120</v>
      </c>
      <c r="E360">
        <v>50</v>
      </c>
      <c r="F360">
        <v>17</v>
      </c>
      <c r="G360">
        <v>13.822208134457471</v>
      </c>
      <c r="H360" t="s">
        <v>249</v>
      </c>
      <c r="I360" t="s">
        <v>35</v>
      </c>
      <c r="J360">
        <v>0</v>
      </c>
      <c r="K360">
        <v>89</v>
      </c>
      <c r="L360" t="s">
        <v>221</v>
      </c>
      <c r="M360">
        <v>2781</v>
      </c>
      <c r="N360">
        <v>7.5825418196618557</v>
      </c>
      <c r="O360">
        <v>15.308769090101119</v>
      </c>
      <c r="P360">
        <v>6.3114121668040752</v>
      </c>
      <c r="Q360">
        <v>23.274223695509139</v>
      </c>
      <c r="R360">
        <v>5</v>
      </c>
      <c r="S360" t="s">
        <v>196</v>
      </c>
      <c r="T360">
        <v>2019</v>
      </c>
      <c r="U360" s="1">
        <v>45901.600802198707</v>
      </c>
      <c r="V360" t="s">
        <v>32</v>
      </c>
      <c r="W360" t="s">
        <v>122</v>
      </c>
      <c r="X360">
        <v>1.1757966884247451</v>
      </c>
      <c r="Y360">
        <v>1.229904790510324</v>
      </c>
      <c r="Z360">
        <v>2.6912309098988749</v>
      </c>
      <c r="AA360">
        <v>2.880258899676376</v>
      </c>
      <c r="AB360">
        <v>0.49542942039162208</v>
      </c>
    </row>
    <row r="361" spans="1:28" x14ac:dyDescent="0.25">
      <c r="A361">
        <v>8</v>
      </c>
      <c r="B361">
        <v>28</v>
      </c>
      <c r="C361">
        <v>16</v>
      </c>
      <c r="D361">
        <v>2098</v>
      </c>
      <c r="E361">
        <v>26</v>
      </c>
      <c r="F361">
        <v>15</v>
      </c>
      <c r="G361">
        <v>13.1706778369844</v>
      </c>
      <c r="H361" t="s">
        <v>208</v>
      </c>
      <c r="I361" t="s">
        <v>29</v>
      </c>
      <c r="J361">
        <v>0</v>
      </c>
      <c r="K361">
        <v>79</v>
      </c>
      <c r="L361" t="s">
        <v>198</v>
      </c>
      <c r="M361">
        <v>1989</v>
      </c>
      <c r="N361">
        <v>3.1697446834295988</v>
      </c>
      <c r="O361">
        <v>13.913955833762881</v>
      </c>
      <c r="P361">
        <v>4.4664437137544164</v>
      </c>
      <c r="Q361">
        <v>18.988983687013391</v>
      </c>
      <c r="R361">
        <v>4</v>
      </c>
      <c r="S361" t="s">
        <v>196</v>
      </c>
      <c r="T361">
        <v>2019</v>
      </c>
      <c r="U361" s="1">
        <v>45901.600802198707</v>
      </c>
      <c r="V361" t="s">
        <v>32</v>
      </c>
      <c r="W361" t="s">
        <v>122</v>
      </c>
      <c r="X361">
        <v>1.1499245930603881</v>
      </c>
      <c r="Y361">
        <v>1.138893547139898</v>
      </c>
      <c r="Z361">
        <v>2.0860441662371159</v>
      </c>
      <c r="AA361">
        <v>3.5746606334841631</v>
      </c>
      <c r="AB361">
        <v>0.62959076170872774</v>
      </c>
    </row>
    <row r="362" spans="1:28" x14ac:dyDescent="0.25">
      <c r="A362">
        <v>1</v>
      </c>
      <c r="B362">
        <v>35</v>
      </c>
      <c r="C362">
        <v>15</v>
      </c>
      <c r="D362">
        <v>2400</v>
      </c>
      <c r="E362">
        <v>22</v>
      </c>
      <c r="F362">
        <v>8</v>
      </c>
      <c r="G362">
        <v>5.9423456825315952</v>
      </c>
      <c r="H362" t="s">
        <v>259</v>
      </c>
      <c r="I362" t="s">
        <v>35</v>
      </c>
      <c r="J362">
        <v>0</v>
      </c>
      <c r="K362">
        <v>81</v>
      </c>
      <c r="L362" t="s">
        <v>205</v>
      </c>
      <c r="M362">
        <v>2899</v>
      </c>
      <c r="N362">
        <v>1.682315382175148</v>
      </c>
      <c r="O362">
        <v>11.14502702280879</v>
      </c>
      <c r="P362">
        <v>1.742750905454159</v>
      </c>
      <c r="Q362">
        <v>6.8448482304811478</v>
      </c>
      <c r="R362">
        <v>11</v>
      </c>
      <c r="S362" t="s">
        <v>196</v>
      </c>
      <c r="T362">
        <v>2019</v>
      </c>
      <c r="U362" s="1">
        <v>45901.600802198707</v>
      </c>
      <c r="V362" t="s">
        <v>32</v>
      </c>
      <c r="W362" t="s">
        <v>122</v>
      </c>
      <c r="X362">
        <v>1.3458917568617681</v>
      </c>
      <c r="Y362">
        <v>1.346269710211774</v>
      </c>
      <c r="Z362">
        <v>3.8549729771912098</v>
      </c>
      <c r="AA362">
        <v>2.5146602276647121</v>
      </c>
      <c r="AB362">
        <v>0.34599945914204588</v>
      </c>
    </row>
    <row r="363" spans="1:28" x14ac:dyDescent="0.25">
      <c r="A363">
        <v>3</v>
      </c>
      <c r="B363">
        <v>33</v>
      </c>
      <c r="C363">
        <v>14</v>
      </c>
      <c r="D363">
        <v>1109</v>
      </c>
      <c r="E363">
        <v>24</v>
      </c>
      <c r="F363">
        <v>9</v>
      </c>
      <c r="G363">
        <v>8.6789579736068845</v>
      </c>
      <c r="H363" t="s">
        <v>283</v>
      </c>
      <c r="I363" t="s">
        <v>35</v>
      </c>
      <c r="J363">
        <v>1</v>
      </c>
      <c r="K363">
        <v>85</v>
      </c>
      <c r="L363" t="s">
        <v>203</v>
      </c>
      <c r="M363">
        <v>2775</v>
      </c>
      <c r="N363">
        <v>3.7784635741263628</v>
      </c>
      <c r="O363">
        <v>12.39508723374456</v>
      </c>
      <c r="P363">
        <v>5.216317692771554</v>
      </c>
      <c r="Q363">
        <v>15.106656553223729</v>
      </c>
      <c r="R363">
        <v>8</v>
      </c>
      <c r="S363" t="s">
        <v>196</v>
      </c>
      <c r="T363">
        <v>2019</v>
      </c>
      <c r="U363" s="1">
        <v>45901.600802198707</v>
      </c>
      <c r="V363" t="s">
        <v>32</v>
      </c>
      <c r="W363" t="s">
        <v>122</v>
      </c>
      <c r="X363">
        <v>1.1294797475798479</v>
      </c>
      <c r="Y363">
        <v>1.0369908492896751</v>
      </c>
      <c r="Z363">
        <v>1.6049127662554381</v>
      </c>
      <c r="AA363">
        <v>2.756756756756757</v>
      </c>
      <c r="AB363">
        <v>0.40200282920252628</v>
      </c>
    </row>
    <row r="364" spans="1:28" x14ac:dyDescent="0.25">
      <c r="A364">
        <v>3</v>
      </c>
      <c r="B364">
        <v>37</v>
      </c>
      <c r="C364">
        <v>14</v>
      </c>
      <c r="D364">
        <v>2290</v>
      </c>
      <c r="E364">
        <v>57</v>
      </c>
      <c r="F364">
        <v>9</v>
      </c>
      <c r="G364">
        <v>9.7323983777314425</v>
      </c>
      <c r="H364" t="s">
        <v>236</v>
      </c>
      <c r="I364" t="s">
        <v>49</v>
      </c>
      <c r="J364">
        <v>0</v>
      </c>
      <c r="K364">
        <v>84</v>
      </c>
      <c r="L364" t="s">
        <v>215</v>
      </c>
      <c r="M364">
        <v>3283</v>
      </c>
      <c r="N364">
        <v>4.8653939720243216</v>
      </c>
      <c r="O364">
        <v>14.935343621298671</v>
      </c>
      <c r="P364">
        <v>6.6322346441447726</v>
      </c>
      <c r="Q364">
        <v>16.321938147768378</v>
      </c>
      <c r="R364">
        <v>9</v>
      </c>
      <c r="S364" t="s">
        <v>196</v>
      </c>
      <c r="T364">
        <v>2019</v>
      </c>
      <c r="U364" s="1">
        <v>45901.600802198707</v>
      </c>
      <c r="V364" t="s">
        <v>32</v>
      </c>
      <c r="W364" t="s">
        <v>122</v>
      </c>
      <c r="X364">
        <v>0.93737381308289314</v>
      </c>
      <c r="Y364">
        <v>0.92474636268412191</v>
      </c>
      <c r="Z364">
        <v>-0.93534362129867077</v>
      </c>
      <c r="AA364">
        <v>2.3027718550106608</v>
      </c>
      <c r="AB364">
        <v>0.40943677304809017</v>
      </c>
    </row>
    <row r="365" spans="1:28" x14ac:dyDescent="0.25">
      <c r="A365">
        <v>2</v>
      </c>
      <c r="B365">
        <v>35</v>
      </c>
      <c r="C365">
        <v>13</v>
      </c>
      <c r="D365">
        <v>1235</v>
      </c>
      <c r="E365">
        <v>13</v>
      </c>
      <c r="F365">
        <v>11</v>
      </c>
      <c r="G365">
        <v>9.4009367413818836</v>
      </c>
      <c r="H365" t="s">
        <v>284</v>
      </c>
      <c r="I365" t="s">
        <v>29</v>
      </c>
      <c r="J365">
        <v>0</v>
      </c>
      <c r="K365">
        <v>56</v>
      </c>
      <c r="L365" t="s">
        <v>285</v>
      </c>
      <c r="M365">
        <v>2807</v>
      </c>
      <c r="N365">
        <v>1.0852131973952051</v>
      </c>
      <c r="O365">
        <v>10.887495037168261</v>
      </c>
      <c r="P365">
        <v>3.160123055800796</v>
      </c>
      <c r="Q365">
        <v>12.43869151361287</v>
      </c>
      <c r="R365">
        <v>12</v>
      </c>
      <c r="S365" t="s">
        <v>196</v>
      </c>
      <c r="T365">
        <v>2019</v>
      </c>
      <c r="U365" s="1">
        <v>45901.600802198707</v>
      </c>
      <c r="V365" t="s">
        <v>32</v>
      </c>
      <c r="W365" t="s">
        <v>122</v>
      </c>
      <c r="X365">
        <v>1.194030395019237</v>
      </c>
      <c r="Y365">
        <v>1.170096161968543</v>
      </c>
      <c r="Z365">
        <v>2.1125049628317361</v>
      </c>
      <c r="AA365">
        <v>1.795511221945137</v>
      </c>
      <c r="AB365">
        <v>0.3490824913947787</v>
      </c>
    </row>
    <row r="366" spans="1:28" x14ac:dyDescent="0.25">
      <c r="A366">
        <v>2</v>
      </c>
      <c r="B366">
        <v>34</v>
      </c>
      <c r="C366">
        <v>12</v>
      </c>
      <c r="D366">
        <v>1804</v>
      </c>
      <c r="E366">
        <v>25</v>
      </c>
      <c r="F366">
        <v>10</v>
      </c>
      <c r="G366">
        <v>12.74610806070268</v>
      </c>
      <c r="H366" t="s">
        <v>104</v>
      </c>
      <c r="I366" t="s">
        <v>29</v>
      </c>
      <c r="J366">
        <v>1</v>
      </c>
      <c r="K366">
        <v>69</v>
      </c>
      <c r="L366" t="s">
        <v>201</v>
      </c>
      <c r="M366">
        <v>2120</v>
      </c>
      <c r="N366">
        <v>4.4973696321249008</v>
      </c>
      <c r="O366">
        <v>14.97581306658685</v>
      </c>
      <c r="P366">
        <v>3.4175532124936581</v>
      </c>
      <c r="Q366">
        <v>18.26270261220634</v>
      </c>
      <c r="R366">
        <v>4</v>
      </c>
      <c r="S366" t="s">
        <v>196</v>
      </c>
      <c r="T366">
        <v>2019</v>
      </c>
      <c r="U366" s="1">
        <v>45901.600802198707</v>
      </c>
      <c r="V366" t="s">
        <v>32</v>
      </c>
      <c r="W366" t="s">
        <v>122</v>
      </c>
      <c r="X366">
        <v>0.80129205316896546</v>
      </c>
      <c r="Y366">
        <v>0.78455321046828697</v>
      </c>
      <c r="Z366">
        <v>-2.9758130665868521</v>
      </c>
      <c r="AA366">
        <v>2.9292452830188682</v>
      </c>
      <c r="AB366">
        <v>0.63576564905321542</v>
      </c>
    </row>
    <row r="367" spans="1:28" x14ac:dyDescent="0.25">
      <c r="A367">
        <v>2</v>
      </c>
      <c r="B367">
        <v>36</v>
      </c>
      <c r="C367">
        <v>11</v>
      </c>
      <c r="D367">
        <v>866</v>
      </c>
      <c r="E367">
        <v>15</v>
      </c>
      <c r="F367">
        <v>10</v>
      </c>
      <c r="G367">
        <v>11.05582215357572</v>
      </c>
      <c r="H367" t="s">
        <v>286</v>
      </c>
      <c r="I367" t="s">
        <v>29</v>
      </c>
      <c r="J367">
        <v>0</v>
      </c>
      <c r="K367">
        <v>87</v>
      </c>
      <c r="L367" t="s">
        <v>271</v>
      </c>
      <c r="M367">
        <v>2800</v>
      </c>
      <c r="N367">
        <v>1.942874460481107</v>
      </c>
      <c r="O367">
        <v>11.79909915197641</v>
      </c>
      <c r="P367">
        <v>2.1454410199075942</v>
      </c>
      <c r="Q367">
        <v>11.244492571800951</v>
      </c>
      <c r="R367">
        <v>6</v>
      </c>
      <c r="S367" t="s">
        <v>196</v>
      </c>
      <c r="T367">
        <v>2019</v>
      </c>
      <c r="U367" s="1">
        <v>45901.600802198707</v>
      </c>
      <c r="V367" t="s">
        <v>32</v>
      </c>
      <c r="W367" t="s">
        <v>122</v>
      </c>
      <c r="X367">
        <v>0.93227456251670238</v>
      </c>
      <c r="Y367">
        <v>0.90450080157681989</v>
      </c>
      <c r="Z367">
        <v>-0.79909915197640835</v>
      </c>
      <c r="AA367">
        <v>2.7964285714285722</v>
      </c>
      <c r="AB367">
        <v>0.37925675845638462</v>
      </c>
    </row>
    <row r="368" spans="1:28" x14ac:dyDescent="0.25">
      <c r="A368">
        <v>5</v>
      </c>
      <c r="B368">
        <v>34</v>
      </c>
      <c r="C368">
        <v>11</v>
      </c>
      <c r="D368">
        <v>1700</v>
      </c>
      <c r="E368">
        <v>63</v>
      </c>
      <c r="F368">
        <v>6</v>
      </c>
      <c r="G368">
        <v>5.7937057125382134</v>
      </c>
      <c r="H368" t="s">
        <v>231</v>
      </c>
      <c r="I368" t="s">
        <v>29</v>
      </c>
      <c r="J368">
        <v>0</v>
      </c>
      <c r="K368">
        <v>48</v>
      </c>
      <c r="L368" t="s">
        <v>271</v>
      </c>
      <c r="M368">
        <v>2519</v>
      </c>
      <c r="N368">
        <v>6.6745800608769059</v>
      </c>
      <c r="O368">
        <v>9.5097124050371367</v>
      </c>
      <c r="P368">
        <v>3.7278553824871778</v>
      </c>
      <c r="Q368">
        <v>11.495878902729601</v>
      </c>
      <c r="R368">
        <v>4</v>
      </c>
      <c r="S368" t="s">
        <v>196</v>
      </c>
      <c r="T368">
        <v>2019</v>
      </c>
      <c r="U368" s="1">
        <v>45901.600802198707</v>
      </c>
      <c r="V368" t="s">
        <v>32</v>
      </c>
      <c r="W368" t="s">
        <v>122</v>
      </c>
      <c r="X368">
        <v>1.156712162417602</v>
      </c>
      <c r="Y368">
        <v>1.03560662168521</v>
      </c>
      <c r="Z368">
        <v>1.4902875949628629</v>
      </c>
      <c r="AA368">
        <v>1.714966256450972</v>
      </c>
      <c r="AB368">
        <v>0.33976741423316492</v>
      </c>
    </row>
    <row r="369" spans="1:28" x14ac:dyDescent="0.25">
      <c r="A369">
        <v>3</v>
      </c>
      <c r="B369">
        <v>34</v>
      </c>
      <c r="C369">
        <v>11</v>
      </c>
      <c r="D369">
        <v>2070</v>
      </c>
      <c r="E369">
        <v>20</v>
      </c>
      <c r="F369">
        <v>10</v>
      </c>
      <c r="G369">
        <v>9.0701990351080894</v>
      </c>
      <c r="H369" t="s">
        <v>287</v>
      </c>
      <c r="I369" t="s">
        <v>35</v>
      </c>
      <c r="J369">
        <v>0</v>
      </c>
      <c r="K369">
        <v>47</v>
      </c>
      <c r="L369" t="s">
        <v>234</v>
      </c>
      <c r="M369">
        <v>2165</v>
      </c>
      <c r="N369">
        <v>2.913702354766428</v>
      </c>
      <c r="O369">
        <v>9.8134820684790594</v>
      </c>
      <c r="P369">
        <v>2.6936476640403271</v>
      </c>
      <c r="Q369">
        <v>13.35163644980639</v>
      </c>
      <c r="R369">
        <v>8</v>
      </c>
      <c r="S369" t="s">
        <v>196</v>
      </c>
      <c r="T369">
        <v>2019</v>
      </c>
      <c r="U369" s="1">
        <v>45901.600802198707</v>
      </c>
      <c r="V369" t="s">
        <v>32</v>
      </c>
      <c r="W369" t="s">
        <v>122</v>
      </c>
      <c r="X369">
        <v>1.1209069240908931</v>
      </c>
      <c r="Y369">
        <v>1.102511638531076</v>
      </c>
      <c r="Z369">
        <v>1.1865179315209411</v>
      </c>
      <c r="AA369">
        <v>1.953810623556582</v>
      </c>
      <c r="AB369">
        <v>0.40795075573354062</v>
      </c>
    </row>
    <row r="370" spans="1:28" x14ac:dyDescent="0.25">
      <c r="A370">
        <v>1</v>
      </c>
      <c r="B370">
        <v>37</v>
      </c>
      <c r="C370">
        <v>11</v>
      </c>
      <c r="D370">
        <v>2361</v>
      </c>
      <c r="E370">
        <v>19</v>
      </c>
      <c r="F370">
        <v>11</v>
      </c>
      <c r="G370">
        <v>11.71421236544848</v>
      </c>
      <c r="H370" t="s">
        <v>250</v>
      </c>
      <c r="I370" t="s">
        <v>29</v>
      </c>
      <c r="J370">
        <v>0</v>
      </c>
      <c r="K370">
        <v>59</v>
      </c>
      <c r="L370" t="s">
        <v>238</v>
      </c>
      <c r="M370">
        <v>2031</v>
      </c>
      <c r="N370">
        <v>1.642551882192492</v>
      </c>
      <c r="O370">
        <v>11.71421236544848</v>
      </c>
      <c r="P370">
        <v>1.5674191005527971</v>
      </c>
      <c r="Q370">
        <v>12.541564602404829</v>
      </c>
      <c r="R370">
        <v>4</v>
      </c>
      <c r="S370" t="s">
        <v>196</v>
      </c>
      <c r="T370">
        <v>2019</v>
      </c>
      <c r="U370" s="1">
        <v>45901.600802198707</v>
      </c>
      <c r="V370" t="s">
        <v>32</v>
      </c>
      <c r="W370" t="s">
        <v>122</v>
      </c>
      <c r="X370">
        <v>0.93903026996889061</v>
      </c>
      <c r="Y370">
        <v>0.93903026996889061</v>
      </c>
      <c r="Z370">
        <v>-0.71421236544847666</v>
      </c>
      <c r="AA370">
        <v>2.614475627769572</v>
      </c>
      <c r="AB370">
        <v>0.51909360555901662</v>
      </c>
    </row>
    <row r="371" spans="1:28" x14ac:dyDescent="0.25">
      <c r="A371">
        <v>1</v>
      </c>
      <c r="B371">
        <v>36</v>
      </c>
      <c r="C371">
        <v>11</v>
      </c>
      <c r="D371">
        <v>2566</v>
      </c>
      <c r="E371">
        <v>25</v>
      </c>
      <c r="F371">
        <v>7</v>
      </c>
      <c r="G371">
        <v>7.097113692201674</v>
      </c>
      <c r="H371" t="s">
        <v>278</v>
      </c>
      <c r="I371" t="s">
        <v>29</v>
      </c>
      <c r="J371">
        <v>1</v>
      </c>
      <c r="K371">
        <v>57</v>
      </c>
      <c r="L371" t="s">
        <v>223</v>
      </c>
      <c r="M371">
        <v>2291</v>
      </c>
      <c r="N371">
        <v>2.754709193482995</v>
      </c>
      <c r="O371">
        <v>10.06997226644307</v>
      </c>
      <c r="P371">
        <v>3.1267621293663979</v>
      </c>
      <c r="Q371">
        <v>11.97553106863052</v>
      </c>
      <c r="R371">
        <v>4</v>
      </c>
      <c r="S371" t="s">
        <v>196</v>
      </c>
      <c r="T371">
        <v>2019</v>
      </c>
      <c r="U371" s="1">
        <v>45901.600802198707</v>
      </c>
      <c r="V371" t="s">
        <v>32</v>
      </c>
      <c r="W371" t="s">
        <v>122</v>
      </c>
      <c r="X371">
        <v>1.092356533756913</v>
      </c>
      <c r="Y371">
        <v>0.98631645251669242</v>
      </c>
      <c r="Z371">
        <v>0.93002773355692625</v>
      </c>
      <c r="AA371">
        <v>2.2391968572675691</v>
      </c>
      <c r="AB371">
        <v>0.39559035529457731</v>
      </c>
    </row>
    <row r="372" spans="1:28" x14ac:dyDescent="0.25">
      <c r="A372">
        <v>3</v>
      </c>
      <c r="B372">
        <v>34</v>
      </c>
      <c r="C372">
        <v>11</v>
      </c>
      <c r="D372">
        <v>7009</v>
      </c>
      <c r="E372">
        <v>29</v>
      </c>
      <c r="F372">
        <v>8</v>
      </c>
      <c r="G372">
        <v>8.4322575489059091</v>
      </c>
      <c r="H372" t="s">
        <v>276</v>
      </c>
      <c r="I372" t="s">
        <v>29</v>
      </c>
      <c r="J372">
        <v>0</v>
      </c>
      <c r="K372">
        <v>56</v>
      </c>
      <c r="L372" t="s">
        <v>266</v>
      </c>
      <c r="M372">
        <v>2792</v>
      </c>
      <c r="N372">
        <v>3.5778431389480829</v>
      </c>
      <c r="O372">
        <v>11.404727221466599</v>
      </c>
      <c r="P372">
        <v>4.4613627642393112</v>
      </c>
      <c r="Q372">
        <v>13.855682353489099</v>
      </c>
      <c r="R372">
        <v>14</v>
      </c>
      <c r="S372" t="s">
        <v>196</v>
      </c>
      <c r="T372">
        <v>2019</v>
      </c>
      <c r="U372" s="1">
        <v>45901.600802198707</v>
      </c>
      <c r="V372" t="s">
        <v>32</v>
      </c>
      <c r="W372" t="s">
        <v>122</v>
      </c>
      <c r="X372">
        <v>0.96451232777362705</v>
      </c>
      <c r="Y372">
        <v>0.94873762495999725</v>
      </c>
      <c r="Z372">
        <v>-0.40472722146659912</v>
      </c>
      <c r="AA372">
        <v>1.8051575931232089</v>
      </c>
      <c r="AB372">
        <v>0.36763089180945352</v>
      </c>
    </row>
    <row r="373" spans="1:28" x14ac:dyDescent="0.25">
      <c r="A373">
        <v>11</v>
      </c>
      <c r="B373">
        <v>37</v>
      </c>
      <c r="C373">
        <v>10</v>
      </c>
      <c r="D373">
        <v>2234</v>
      </c>
      <c r="E373">
        <v>51</v>
      </c>
      <c r="F373">
        <v>6</v>
      </c>
      <c r="G373">
        <v>5.0654704188928008</v>
      </c>
      <c r="H373" t="s">
        <v>267</v>
      </c>
      <c r="I373" t="s">
        <v>35</v>
      </c>
      <c r="J373">
        <v>0</v>
      </c>
      <c r="K373">
        <v>62</v>
      </c>
      <c r="L373" t="s">
        <v>238</v>
      </c>
      <c r="M373">
        <v>3086</v>
      </c>
      <c r="N373">
        <v>8.1726724412292242</v>
      </c>
      <c r="O373">
        <v>8.0383220175281167</v>
      </c>
      <c r="P373">
        <v>6.1073055099695921</v>
      </c>
      <c r="Q373">
        <v>16.718886246904731</v>
      </c>
      <c r="R373">
        <v>4</v>
      </c>
      <c r="S373" t="s">
        <v>196</v>
      </c>
      <c r="T373">
        <v>2019</v>
      </c>
      <c r="U373" s="1">
        <v>45901.600802198707</v>
      </c>
      <c r="V373" t="s">
        <v>32</v>
      </c>
      <c r="W373" t="s">
        <v>122</v>
      </c>
      <c r="X373">
        <v>1.2440407311618411</v>
      </c>
      <c r="Y373">
        <v>1.184490186266149</v>
      </c>
      <c r="Z373">
        <v>1.9616779824718831</v>
      </c>
      <c r="AA373">
        <v>1.808165910563837</v>
      </c>
      <c r="AB373">
        <v>0.23442935242304941</v>
      </c>
    </row>
    <row r="374" spans="1:28" x14ac:dyDescent="0.25">
      <c r="A374">
        <v>3</v>
      </c>
      <c r="B374">
        <v>32</v>
      </c>
      <c r="C374">
        <v>10</v>
      </c>
      <c r="D374">
        <v>4136</v>
      </c>
      <c r="E374">
        <v>18</v>
      </c>
      <c r="F374">
        <v>9</v>
      </c>
      <c r="G374">
        <v>7.4521309100091457</v>
      </c>
      <c r="H374" t="s">
        <v>265</v>
      </c>
      <c r="I374" t="s">
        <v>29</v>
      </c>
      <c r="J374">
        <v>0</v>
      </c>
      <c r="K374">
        <v>53</v>
      </c>
      <c r="L374" t="s">
        <v>266</v>
      </c>
      <c r="M374">
        <v>1352</v>
      </c>
      <c r="N374">
        <v>2.512610899284482</v>
      </c>
      <c r="O374">
        <v>8.1954089365899563</v>
      </c>
      <c r="P374">
        <v>3.3229369856417179</v>
      </c>
      <c r="Q374">
        <v>9.7748612891882658</v>
      </c>
      <c r="R374">
        <v>6</v>
      </c>
      <c r="S374" t="s">
        <v>196</v>
      </c>
      <c r="T374">
        <v>2019</v>
      </c>
      <c r="U374" s="1">
        <v>45901.600802198707</v>
      </c>
      <c r="V374" t="s">
        <v>32</v>
      </c>
      <c r="W374" t="s">
        <v>122</v>
      </c>
      <c r="X374">
        <v>1.220195365157815</v>
      </c>
      <c r="Y374">
        <v>1.207708252670638</v>
      </c>
      <c r="Z374">
        <v>1.8045910634100439</v>
      </c>
      <c r="AA374">
        <v>3.52810650887574</v>
      </c>
      <c r="AB374">
        <v>0.54555237003927226</v>
      </c>
    </row>
    <row r="375" spans="1:28" x14ac:dyDescent="0.25">
      <c r="A375">
        <v>2</v>
      </c>
      <c r="B375">
        <v>33</v>
      </c>
      <c r="C375">
        <v>10</v>
      </c>
      <c r="D375">
        <v>6124</v>
      </c>
      <c r="E375">
        <v>14</v>
      </c>
      <c r="F375">
        <v>10</v>
      </c>
      <c r="G375">
        <v>6.137309243902564</v>
      </c>
      <c r="H375" t="s">
        <v>263</v>
      </c>
      <c r="I375" t="s">
        <v>29</v>
      </c>
      <c r="J375">
        <v>0</v>
      </c>
      <c r="K375">
        <v>41</v>
      </c>
      <c r="L375" t="s">
        <v>225</v>
      </c>
      <c r="M375">
        <v>2168</v>
      </c>
      <c r="N375">
        <v>3.2487857528030868</v>
      </c>
      <c r="O375">
        <v>6.8805872704833746</v>
      </c>
      <c r="P375">
        <v>2.0382983107119799</v>
      </c>
      <c r="Q375">
        <v>9.6268580798059702</v>
      </c>
      <c r="R375">
        <v>5</v>
      </c>
      <c r="S375" t="s">
        <v>196</v>
      </c>
      <c r="T375">
        <v>2019</v>
      </c>
      <c r="U375" s="1">
        <v>45901.600802198707</v>
      </c>
      <c r="V375" t="s">
        <v>32</v>
      </c>
      <c r="W375" t="s">
        <v>122</v>
      </c>
      <c r="X375">
        <v>1.453364314249513</v>
      </c>
      <c r="Y375">
        <v>1.629378544015039</v>
      </c>
      <c r="Z375">
        <v>3.119412729516625</v>
      </c>
      <c r="AA375">
        <v>1.7020295202952029</v>
      </c>
      <c r="AB375">
        <v>0.28563323539829499</v>
      </c>
    </row>
    <row r="376" spans="1:28" x14ac:dyDescent="0.25">
      <c r="A376">
        <v>2</v>
      </c>
      <c r="B376">
        <v>36</v>
      </c>
      <c r="C376">
        <v>10</v>
      </c>
      <c r="D376">
        <v>6528</v>
      </c>
      <c r="E376">
        <v>17</v>
      </c>
      <c r="F376">
        <v>10</v>
      </c>
      <c r="G376">
        <v>7.6566311223432422</v>
      </c>
      <c r="H376" t="s">
        <v>288</v>
      </c>
      <c r="I376" t="s">
        <v>29</v>
      </c>
      <c r="J376">
        <v>1</v>
      </c>
      <c r="K376">
        <v>51</v>
      </c>
      <c r="L376" t="s">
        <v>228</v>
      </c>
      <c r="M376">
        <v>2013</v>
      </c>
      <c r="N376">
        <v>2.707448391243815</v>
      </c>
      <c r="O376">
        <v>7.6566311223432422</v>
      </c>
      <c r="P376">
        <v>2.0900079058483239</v>
      </c>
      <c r="Q376">
        <v>10.834606749005619</v>
      </c>
      <c r="R376">
        <v>2</v>
      </c>
      <c r="S376" t="s">
        <v>196</v>
      </c>
      <c r="T376">
        <v>2019</v>
      </c>
      <c r="U376" s="1">
        <v>45901.600802198707</v>
      </c>
      <c r="V376" t="s">
        <v>32</v>
      </c>
      <c r="W376" t="s">
        <v>122</v>
      </c>
      <c r="X376">
        <v>1.306057434426799</v>
      </c>
      <c r="Y376">
        <v>1.306057434426799</v>
      </c>
      <c r="Z376">
        <v>2.3433688776567578</v>
      </c>
      <c r="AA376">
        <v>2.2801788375558871</v>
      </c>
      <c r="AB376">
        <v>0.34232329906154579</v>
      </c>
    </row>
    <row r="377" spans="1:28" x14ac:dyDescent="0.25">
      <c r="A377">
        <v>9</v>
      </c>
      <c r="B377">
        <v>35</v>
      </c>
      <c r="C377">
        <v>30</v>
      </c>
      <c r="D377">
        <v>2097</v>
      </c>
      <c r="E377">
        <v>77</v>
      </c>
      <c r="F377">
        <v>27</v>
      </c>
      <c r="G377">
        <v>22.96045591682196</v>
      </c>
      <c r="H377" t="s">
        <v>197</v>
      </c>
      <c r="I377" t="s">
        <v>35</v>
      </c>
      <c r="J377">
        <v>0</v>
      </c>
      <c r="K377">
        <v>195</v>
      </c>
      <c r="L377" t="s">
        <v>198</v>
      </c>
      <c r="M377">
        <v>3017</v>
      </c>
      <c r="N377">
        <v>11.42284910753369</v>
      </c>
      <c r="O377">
        <v>26.676853142678741</v>
      </c>
      <c r="P377">
        <v>20.337364256381989</v>
      </c>
      <c r="Q377">
        <v>37.906861275434487</v>
      </c>
      <c r="R377">
        <v>4</v>
      </c>
      <c r="S377" t="s">
        <v>196</v>
      </c>
      <c r="T377">
        <v>2020</v>
      </c>
      <c r="U377" s="1">
        <v>45901.600802198707</v>
      </c>
      <c r="V377" t="s">
        <v>32</v>
      </c>
      <c r="W377" t="s">
        <v>130</v>
      </c>
      <c r="X377">
        <v>1.1245704221389119</v>
      </c>
      <c r="Y377">
        <v>1.175934837610018</v>
      </c>
      <c r="Z377">
        <v>3.3231468573212619</v>
      </c>
      <c r="AA377">
        <v>5.8170367915147496</v>
      </c>
      <c r="AB377">
        <v>0.79579608314255434</v>
      </c>
    </row>
    <row r="378" spans="1:28" x14ac:dyDescent="0.25">
      <c r="A378">
        <v>7</v>
      </c>
      <c r="B378">
        <v>33</v>
      </c>
      <c r="C378">
        <v>23</v>
      </c>
      <c r="D378">
        <v>2120</v>
      </c>
      <c r="E378">
        <v>43</v>
      </c>
      <c r="F378">
        <v>13</v>
      </c>
      <c r="G378">
        <v>12.095488358289</v>
      </c>
      <c r="H378" t="s">
        <v>249</v>
      </c>
      <c r="I378" t="s">
        <v>35</v>
      </c>
      <c r="J378">
        <v>0</v>
      </c>
      <c r="K378">
        <v>98</v>
      </c>
      <c r="L378" t="s">
        <v>221</v>
      </c>
      <c r="M378">
        <v>2680</v>
      </c>
      <c r="N378">
        <v>7.8102360107004642</v>
      </c>
      <c r="O378">
        <v>19.528132822364569</v>
      </c>
      <c r="P378">
        <v>6.9512958191335201</v>
      </c>
      <c r="Q378">
        <v>23.263547345995899</v>
      </c>
      <c r="R378">
        <v>3</v>
      </c>
      <c r="S378" t="s">
        <v>196</v>
      </c>
      <c r="T378">
        <v>2020</v>
      </c>
      <c r="U378" s="1">
        <v>45901.600802198707</v>
      </c>
      <c r="V378" t="s">
        <v>32</v>
      </c>
      <c r="W378" t="s">
        <v>130</v>
      </c>
      <c r="X378">
        <v>1.1777879743658479</v>
      </c>
      <c r="Y378">
        <v>1.074780911271858</v>
      </c>
      <c r="Z378">
        <v>3.4718671776354308</v>
      </c>
      <c r="AA378">
        <v>3.2910447761194028</v>
      </c>
      <c r="AB378">
        <v>0.65579550522866092</v>
      </c>
    </row>
    <row r="379" spans="1:28" x14ac:dyDescent="0.25">
      <c r="A379">
        <v>9</v>
      </c>
      <c r="B379">
        <v>34</v>
      </c>
      <c r="C379">
        <v>23</v>
      </c>
      <c r="D379">
        <v>2370</v>
      </c>
      <c r="E379">
        <v>38</v>
      </c>
      <c r="F379">
        <v>22</v>
      </c>
      <c r="G379">
        <v>18.711233343929049</v>
      </c>
      <c r="H379" t="s">
        <v>209</v>
      </c>
      <c r="I379" t="s">
        <v>29</v>
      </c>
      <c r="J379">
        <v>0</v>
      </c>
      <c r="K379">
        <v>123</v>
      </c>
      <c r="L379" t="s">
        <v>195</v>
      </c>
      <c r="M379">
        <v>2914</v>
      </c>
      <c r="N379">
        <v>6.7555717136710882</v>
      </c>
      <c r="O379">
        <v>19.454506304115061</v>
      </c>
      <c r="P379">
        <v>6.1941429860889912</v>
      </c>
      <c r="Q379">
        <v>28.303932219743729</v>
      </c>
      <c r="R379">
        <v>2</v>
      </c>
      <c r="S379" t="s">
        <v>196</v>
      </c>
      <c r="T379">
        <v>2020</v>
      </c>
      <c r="U379" s="1">
        <v>45901.600802198707</v>
      </c>
      <c r="V379" t="s">
        <v>32</v>
      </c>
      <c r="W379" t="s">
        <v>130</v>
      </c>
      <c r="X379">
        <v>1.1822453698110551</v>
      </c>
      <c r="Y379">
        <v>1.1757642906600809</v>
      </c>
      <c r="Z379">
        <v>3.545493695884943</v>
      </c>
      <c r="AA379">
        <v>3.7989018531228549</v>
      </c>
      <c r="AB379">
        <v>0.60085983780725982</v>
      </c>
    </row>
    <row r="380" spans="1:28" x14ac:dyDescent="0.25">
      <c r="A380">
        <v>3</v>
      </c>
      <c r="B380">
        <v>32</v>
      </c>
      <c r="C380">
        <v>21</v>
      </c>
      <c r="D380">
        <v>2098</v>
      </c>
      <c r="E380">
        <v>27</v>
      </c>
      <c r="F380">
        <v>18</v>
      </c>
      <c r="G380">
        <v>15.66264469176531</v>
      </c>
      <c r="H380" t="s">
        <v>208</v>
      </c>
      <c r="I380" t="s">
        <v>29</v>
      </c>
      <c r="J380">
        <v>0</v>
      </c>
      <c r="K380">
        <v>104</v>
      </c>
      <c r="L380" t="s">
        <v>201</v>
      </c>
      <c r="M380">
        <v>2541</v>
      </c>
      <c r="N380">
        <v>3.142669664695859</v>
      </c>
      <c r="O380">
        <v>17.89247473329306</v>
      </c>
      <c r="P380">
        <v>1.2328038047999139</v>
      </c>
      <c r="Q380">
        <v>18.595959763973951</v>
      </c>
      <c r="R380">
        <v>6</v>
      </c>
      <c r="S380" t="s">
        <v>196</v>
      </c>
      <c r="T380">
        <v>2020</v>
      </c>
      <c r="U380" s="1">
        <v>45901.600802198707</v>
      </c>
      <c r="V380" t="s">
        <v>32</v>
      </c>
      <c r="W380" t="s">
        <v>130</v>
      </c>
      <c r="X380">
        <v>1.173677778676679</v>
      </c>
      <c r="Y380">
        <v>1.14923120291834</v>
      </c>
      <c r="Z380">
        <v>3.107525266706944</v>
      </c>
      <c r="AA380">
        <v>3.6835891381345931</v>
      </c>
      <c r="AB380">
        <v>0.63373582290294184</v>
      </c>
    </row>
    <row r="381" spans="1:28" x14ac:dyDescent="0.25">
      <c r="A381">
        <v>0</v>
      </c>
      <c r="B381">
        <v>38</v>
      </c>
      <c r="C381">
        <v>18</v>
      </c>
      <c r="D381">
        <v>5169</v>
      </c>
      <c r="E381">
        <v>13</v>
      </c>
      <c r="F381">
        <v>18</v>
      </c>
      <c r="G381">
        <v>15.794802559539679</v>
      </c>
      <c r="H381" t="s">
        <v>289</v>
      </c>
      <c r="I381" t="s">
        <v>29</v>
      </c>
      <c r="J381">
        <v>0</v>
      </c>
      <c r="K381">
        <v>77</v>
      </c>
      <c r="L381" t="s">
        <v>203</v>
      </c>
      <c r="M381">
        <v>2308</v>
      </c>
      <c r="N381">
        <v>2.642064044252038</v>
      </c>
      <c r="O381">
        <v>15.794802559539679</v>
      </c>
      <c r="P381">
        <v>1.0870533157140021</v>
      </c>
      <c r="Q381">
        <v>17.816114058718089</v>
      </c>
      <c r="R381">
        <v>2</v>
      </c>
      <c r="S381" t="s">
        <v>196</v>
      </c>
      <c r="T381">
        <v>2020</v>
      </c>
      <c r="U381" s="1">
        <v>45901.600802198707</v>
      </c>
      <c r="V381" t="s">
        <v>32</v>
      </c>
      <c r="W381" t="s">
        <v>130</v>
      </c>
      <c r="X381">
        <v>1.139615385007041</v>
      </c>
      <c r="Y381">
        <v>1.139615385007041</v>
      </c>
      <c r="Z381">
        <v>2.2051974404603238</v>
      </c>
      <c r="AA381">
        <v>3.00259965337955</v>
      </c>
      <c r="AB381">
        <v>0.61591517779834082</v>
      </c>
    </row>
    <row r="382" spans="1:28" x14ac:dyDescent="0.25">
      <c r="A382">
        <v>2</v>
      </c>
      <c r="B382">
        <v>34</v>
      </c>
      <c r="C382">
        <v>16</v>
      </c>
      <c r="D382">
        <v>5232</v>
      </c>
      <c r="E382">
        <v>10</v>
      </c>
      <c r="F382">
        <v>16</v>
      </c>
      <c r="G382">
        <v>15.72440974414349</v>
      </c>
      <c r="H382" t="s">
        <v>158</v>
      </c>
      <c r="I382" t="s">
        <v>29</v>
      </c>
      <c r="J382">
        <v>0</v>
      </c>
      <c r="K382">
        <v>81</v>
      </c>
      <c r="L382" t="s">
        <v>238</v>
      </c>
      <c r="M382">
        <v>2389</v>
      </c>
      <c r="N382">
        <v>1.8415142763406041</v>
      </c>
      <c r="O382">
        <v>16.467687338590618</v>
      </c>
      <c r="P382">
        <v>2.9823044277727599</v>
      </c>
      <c r="Q382">
        <v>17.613965312018991</v>
      </c>
      <c r="R382">
        <v>4</v>
      </c>
      <c r="S382" t="s">
        <v>196</v>
      </c>
      <c r="T382">
        <v>2020</v>
      </c>
      <c r="U382" s="1">
        <v>45901.600802198707</v>
      </c>
      <c r="V382" t="s">
        <v>32</v>
      </c>
      <c r="W382" t="s">
        <v>130</v>
      </c>
      <c r="X382">
        <v>0.97159969527144008</v>
      </c>
      <c r="Y382">
        <v>1.017526270323702</v>
      </c>
      <c r="Z382">
        <v>-0.46768733859062189</v>
      </c>
      <c r="AA382">
        <v>3.0514859773963998</v>
      </c>
      <c r="AB382">
        <v>0.62038169128219167</v>
      </c>
    </row>
    <row r="383" spans="1:28" x14ac:dyDescent="0.25">
      <c r="A383">
        <v>3</v>
      </c>
      <c r="B383">
        <v>38</v>
      </c>
      <c r="C383">
        <v>14</v>
      </c>
      <c r="D383">
        <v>2186</v>
      </c>
      <c r="E383">
        <v>34</v>
      </c>
      <c r="F383">
        <v>14</v>
      </c>
      <c r="G383">
        <v>7.061438636854291</v>
      </c>
      <c r="H383" t="s">
        <v>272</v>
      </c>
      <c r="I383" t="s">
        <v>35</v>
      </c>
      <c r="J383">
        <v>0</v>
      </c>
      <c r="K383">
        <v>58</v>
      </c>
      <c r="L383" t="s">
        <v>223</v>
      </c>
      <c r="M383">
        <v>2469</v>
      </c>
      <c r="N383">
        <v>4.6208187155425549</v>
      </c>
      <c r="O383">
        <v>7.8045879323035479</v>
      </c>
      <c r="P383">
        <v>3.2699945010244851</v>
      </c>
      <c r="Q383">
        <v>12.58138066530228</v>
      </c>
      <c r="R383">
        <v>3</v>
      </c>
      <c r="S383" t="s">
        <v>196</v>
      </c>
      <c r="T383">
        <v>2020</v>
      </c>
      <c r="U383" s="1">
        <v>45901.600802198707</v>
      </c>
      <c r="V383" t="s">
        <v>32</v>
      </c>
      <c r="W383" t="s">
        <v>130</v>
      </c>
      <c r="X383">
        <v>1.7938166782711691</v>
      </c>
      <c r="Y383">
        <v>1.982598832896844</v>
      </c>
      <c r="Z383">
        <v>6.1954120676964521</v>
      </c>
      <c r="AA383">
        <v>2.1142162818955041</v>
      </c>
      <c r="AB383">
        <v>0.28449287724071259</v>
      </c>
    </row>
    <row r="384" spans="1:28" x14ac:dyDescent="0.25">
      <c r="A384">
        <v>13</v>
      </c>
      <c r="B384">
        <v>33</v>
      </c>
      <c r="C384">
        <v>14</v>
      </c>
      <c r="D384">
        <v>2290</v>
      </c>
      <c r="E384">
        <v>62</v>
      </c>
      <c r="F384">
        <v>9</v>
      </c>
      <c r="G384">
        <v>8.5390477068722248</v>
      </c>
      <c r="H384" t="s">
        <v>236</v>
      </c>
      <c r="I384" t="s">
        <v>49</v>
      </c>
      <c r="J384">
        <v>0</v>
      </c>
      <c r="K384">
        <v>51</v>
      </c>
      <c r="L384" t="s">
        <v>215</v>
      </c>
      <c r="M384">
        <v>2878</v>
      </c>
      <c r="N384">
        <v>9.3063944014720619</v>
      </c>
      <c r="O384">
        <v>12.25505379214883</v>
      </c>
      <c r="P384">
        <v>11.44408544059843</v>
      </c>
      <c r="Q384">
        <v>25.359115313738581</v>
      </c>
      <c r="R384">
        <v>9</v>
      </c>
      <c r="S384" t="s">
        <v>196</v>
      </c>
      <c r="T384">
        <v>2020</v>
      </c>
      <c r="U384" s="1">
        <v>45901.600802198707</v>
      </c>
      <c r="V384" t="s">
        <v>32</v>
      </c>
      <c r="W384" t="s">
        <v>130</v>
      </c>
      <c r="X384">
        <v>1.1423858464798471</v>
      </c>
      <c r="Y384">
        <v>1.0539816978369609</v>
      </c>
      <c r="Z384">
        <v>1.744946207851171</v>
      </c>
      <c r="AA384">
        <v>1.594857539958304</v>
      </c>
      <c r="AB384">
        <v>0.38323656750986612</v>
      </c>
    </row>
    <row r="385" spans="1:28" x14ac:dyDescent="0.25">
      <c r="A385">
        <v>7</v>
      </c>
      <c r="B385">
        <v>36</v>
      </c>
      <c r="C385">
        <v>13</v>
      </c>
      <c r="D385">
        <v>2270</v>
      </c>
      <c r="E385">
        <v>42</v>
      </c>
      <c r="F385">
        <v>12</v>
      </c>
      <c r="G385">
        <v>10.94238847866654</v>
      </c>
      <c r="H385" t="s">
        <v>200</v>
      </c>
      <c r="I385" t="s">
        <v>35</v>
      </c>
      <c r="J385">
        <v>0</v>
      </c>
      <c r="K385">
        <v>71</v>
      </c>
      <c r="L385" t="s">
        <v>198</v>
      </c>
      <c r="M385">
        <v>2646</v>
      </c>
      <c r="N385">
        <v>6.6603847621008754</v>
      </c>
      <c r="O385">
        <v>12.42881852760911</v>
      </c>
      <c r="P385">
        <v>12.167513810098169</v>
      </c>
      <c r="Q385">
        <v>24.722426597028971</v>
      </c>
      <c r="R385">
        <v>4</v>
      </c>
      <c r="S385" t="s">
        <v>196</v>
      </c>
      <c r="T385">
        <v>2020</v>
      </c>
      <c r="U385" s="1">
        <v>45901.600802198707</v>
      </c>
      <c r="V385" t="s">
        <v>32</v>
      </c>
      <c r="W385" t="s">
        <v>130</v>
      </c>
      <c r="X385">
        <v>1.045956216282512</v>
      </c>
      <c r="Y385">
        <v>1.0966527119189191</v>
      </c>
      <c r="Z385">
        <v>0.57118147239089012</v>
      </c>
      <c r="AA385">
        <v>2.4149659863945581</v>
      </c>
      <c r="AB385">
        <v>0.42274892951051402</v>
      </c>
    </row>
    <row r="386" spans="1:28" x14ac:dyDescent="0.25">
      <c r="A386">
        <v>1</v>
      </c>
      <c r="B386">
        <v>38</v>
      </c>
      <c r="C386">
        <v>13</v>
      </c>
      <c r="D386">
        <v>2589</v>
      </c>
      <c r="E386">
        <v>9</v>
      </c>
      <c r="F386">
        <v>11</v>
      </c>
      <c r="G386">
        <v>12.88026591949165</v>
      </c>
      <c r="H386" t="s">
        <v>290</v>
      </c>
      <c r="I386" t="s">
        <v>35</v>
      </c>
      <c r="J386">
        <v>0</v>
      </c>
      <c r="K386">
        <v>120</v>
      </c>
      <c r="L386" t="s">
        <v>282</v>
      </c>
      <c r="M386">
        <v>2881</v>
      </c>
      <c r="N386">
        <v>0.78514332324266434</v>
      </c>
      <c r="O386">
        <v>15.110096408054231</v>
      </c>
      <c r="P386">
        <v>2.035372300073504</v>
      </c>
      <c r="Q386">
        <v>13.065971085801721</v>
      </c>
      <c r="R386">
        <v>2</v>
      </c>
      <c r="S386" t="s">
        <v>196</v>
      </c>
      <c r="T386">
        <v>2020</v>
      </c>
      <c r="U386" s="1">
        <v>45901.600802198707</v>
      </c>
      <c r="V386" t="s">
        <v>32</v>
      </c>
      <c r="W386" t="s">
        <v>130</v>
      </c>
      <c r="X386">
        <v>0.8603518898178919</v>
      </c>
      <c r="Y386">
        <v>0.85401963505689349</v>
      </c>
      <c r="Z386">
        <v>-2.110096408054233</v>
      </c>
      <c r="AA386">
        <v>3.7486983686220059</v>
      </c>
      <c r="AB386">
        <v>0.47202661462161788</v>
      </c>
    </row>
    <row r="387" spans="1:28" x14ac:dyDescent="0.25">
      <c r="A387">
        <v>3</v>
      </c>
      <c r="B387">
        <v>34</v>
      </c>
      <c r="C387">
        <v>12</v>
      </c>
      <c r="D387">
        <v>2384</v>
      </c>
      <c r="E387">
        <v>15</v>
      </c>
      <c r="F387">
        <v>11</v>
      </c>
      <c r="G387">
        <v>8.6130278035998344</v>
      </c>
      <c r="H387" t="s">
        <v>268</v>
      </c>
      <c r="I387" t="s">
        <v>29</v>
      </c>
      <c r="J387">
        <v>0</v>
      </c>
      <c r="K387">
        <v>45</v>
      </c>
      <c r="L387" t="s">
        <v>215</v>
      </c>
      <c r="M387">
        <v>2443</v>
      </c>
      <c r="N387">
        <v>2.62564842030406</v>
      </c>
      <c r="O387">
        <v>9.3563057854771596</v>
      </c>
      <c r="P387">
        <v>5.218660656362772</v>
      </c>
      <c r="Q387">
        <v>14.68601100705564</v>
      </c>
      <c r="R387">
        <v>4</v>
      </c>
      <c r="S387" t="s">
        <v>196</v>
      </c>
      <c r="T387">
        <v>2020</v>
      </c>
      <c r="U387" s="1">
        <v>45901.600802198707</v>
      </c>
      <c r="V387" t="s">
        <v>32</v>
      </c>
      <c r="W387" t="s">
        <v>130</v>
      </c>
      <c r="X387">
        <v>1.282557483171016</v>
      </c>
      <c r="Y387">
        <v>1.2771350854576971</v>
      </c>
      <c r="Z387">
        <v>2.6436942145228399</v>
      </c>
      <c r="AA387">
        <v>1.657797789602947</v>
      </c>
      <c r="AB387">
        <v>0.34468584555585108</v>
      </c>
    </row>
    <row r="388" spans="1:28" x14ac:dyDescent="0.25">
      <c r="A388">
        <v>4</v>
      </c>
      <c r="B388">
        <v>33</v>
      </c>
      <c r="C388">
        <v>12</v>
      </c>
      <c r="D388">
        <v>2566</v>
      </c>
      <c r="E388">
        <v>18</v>
      </c>
      <c r="F388">
        <v>10</v>
      </c>
      <c r="G388">
        <v>6.5712670963257551</v>
      </c>
      <c r="H388" t="s">
        <v>278</v>
      </c>
      <c r="I388" t="s">
        <v>29</v>
      </c>
      <c r="J388">
        <v>0</v>
      </c>
      <c r="K388">
        <v>46</v>
      </c>
      <c r="L388" t="s">
        <v>223</v>
      </c>
      <c r="M388">
        <v>2218</v>
      </c>
      <c r="N388">
        <v>2.572868507355452</v>
      </c>
      <c r="O388">
        <v>9.5443769227713364</v>
      </c>
      <c r="P388">
        <v>4.2777703488245606</v>
      </c>
      <c r="Q388">
        <v>12.84909822419286</v>
      </c>
      <c r="R388">
        <v>4</v>
      </c>
      <c r="S388" t="s">
        <v>196</v>
      </c>
      <c r="T388">
        <v>2020</v>
      </c>
      <c r="U388" s="1">
        <v>45901.600802198707</v>
      </c>
      <c r="V388" t="s">
        <v>32</v>
      </c>
      <c r="W388" t="s">
        <v>130</v>
      </c>
      <c r="X388">
        <v>1.257284796807421</v>
      </c>
      <c r="Y388">
        <v>1.5217765239814069</v>
      </c>
      <c r="Z388">
        <v>2.455623077228664</v>
      </c>
      <c r="AA388">
        <v>1.866546438232642</v>
      </c>
      <c r="AB388">
        <v>0.38728310326844922</v>
      </c>
    </row>
    <row r="389" spans="1:28" x14ac:dyDescent="0.25">
      <c r="A389">
        <v>2</v>
      </c>
      <c r="B389">
        <v>37</v>
      </c>
      <c r="C389">
        <v>12</v>
      </c>
      <c r="D389">
        <v>5074</v>
      </c>
      <c r="E389">
        <v>25</v>
      </c>
      <c r="F389">
        <v>12</v>
      </c>
      <c r="G389">
        <v>10.610246737487611</v>
      </c>
      <c r="H389" t="s">
        <v>291</v>
      </c>
      <c r="I389" t="s">
        <v>29</v>
      </c>
      <c r="J389">
        <v>1</v>
      </c>
      <c r="K389">
        <v>87</v>
      </c>
      <c r="L389" t="s">
        <v>230</v>
      </c>
      <c r="M389">
        <v>3124</v>
      </c>
      <c r="N389">
        <v>1.899755237624049</v>
      </c>
      <c r="O389">
        <v>10.610246737487611</v>
      </c>
      <c r="P389">
        <v>4.451286107301712</v>
      </c>
      <c r="Q389">
        <v>14.64608631655574</v>
      </c>
      <c r="R389">
        <v>2</v>
      </c>
      <c r="S389" t="s">
        <v>196</v>
      </c>
      <c r="T389">
        <v>2020</v>
      </c>
      <c r="U389" s="1">
        <v>45901.600802198707</v>
      </c>
      <c r="V389" t="s">
        <v>32</v>
      </c>
      <c r="W389" t="s">
        <v>130</v>
      </c>
      <c r="X389">
        <v>1.13098218136645</v>
      </c>
      <c r="Y389">
        <v>1.13098218136645</v>
      </c>
      <c r="Z389">
        <v>1.3897532625123861</v>
      </c>
      <c r="AA389">
        <v>2.5064020486555698</v>
      </c>
      <c r="AB389">
        <v>0.30567292137448321</v>
      </c>
    </row>
    <row r="390" spans="1:28" x14ac:dyDescent="0.25">
      <c r="A390">
        <v>3</v>
      </c>
      <c r="B390">
        <v>37</v>
      </c>
      <c r="C390">
        <v>11</v>
      </c>
      <c r="D390">
        <v>866</v>
      </c>
      <c r="E390">
        <v>30</v>
      </c>
      <c r="F390">
        <v>9</v>
      </c>
      <c r="G390">
        <v>9.1802826710045338</v>
      </c>
      <c r="H390" t="s">
        <v>286</v>
      </c>
      <c r="I390" t="s">
        <v>29</v>
      </c>
      <c r="J390">
        <v>0</v>
      </c>
      <c r="K390">
        <v>94</v>
      </c>
      <c r="L390" t="s">
        <v>271</v>
      </c>
      <c r="M390">
        <v>3044</v>
      </c>
      <c r="N390">
        <v>3.7940943539142609</v>
      </c>
      <c r="O390">
        <v>12.15326869860292</v>
      </c>
      <c r="P390">
        <v>1.1541434265673161</v>
      </c>
      <c r="Q390">
        <v>10.71024944633246</v>
      </c>
      <c r="R390">
        <v>1</v>
      </c>
      <c r="S390" t="s">
        <v>196</v>
      </c>
      <c r="T390">
        <v>2020</v>
      </c>
      <c r="U390" s="1">
        <v>45901.600802198707</v>
      </c>
      <c r="V390" t="s">
        <v>32</v>
      </c>
      <c r="W390" t="s">
        <v>130</v>
      </c>
      <c r="X390">
        <v>0.90510629467646919</v>
      </c>
      <c r="Y390">
        <v>0.98036196950950671</v>
      </c>
      <c r="Z390">
        <v>-1.153268698602917</v>
      </c>
      <c r="AA390">
        <v>2.7792378449408668</v>
      </c>
      <c r="AB390">
        <v>0.35932791815843051</v>
      </c>
    </row>
    <row r="391" spans="1:28" x14ac:dyDescent="0.25">
      <c r="A391">
        <v>0</v>
      </c>
      <c r="B391">
        <v>30</v>
      </c>
      <c r="C391">
        <v>11</v>
      </c>
      <c r="D391">
        <v>1235</v>
      </c>
      <c r="E391">
        <v>9</v>
      </c>
      <c r="F391">
        <v>11</v>
      </c>
      <c r="G391">
        <v>9.9286063248291594</v>
      </c>
      <c r="H391" t="s">
        <v>284</v>
      </c>
      <c r="I391" t="s">
        <v>29</v>
      </c>
      <c r="J391">
        <v>0</v>
      </c>
      <c r="K391">
        <v>46</v>
      </c>
      <c r="L391" t="s">
        <v>261</v>
      </c>
      <c r="M391">
        <v>1628</v>
      </c>
      <c r="N391">
        <v>0.77437118999660015</v>
      </c>
      <c r="O391">
        <v>9.9286063248291594</v>
      </c>
      <c r="P391">
        <v>0.95833369623869658</v>
      </c>
      <c r="Q391">
        <v>9.3800537064671516</v>
      </c>
      <c r="R391">
        <v>3</v>
      </c>
      <c r="S391" t="s">
        <v>196</v>
      </c>
      <c r="T391">
        <v>2020</v>
      </c>
      <c r="U391" s="1">
        <v>45901.600802198707</v>
      </c>
      <c r="V391" t="s">
        <v>32</v>
      </c>
      <c r="W391" t="s">
        <v>130</v>
      </c>
      <c r="X391">
        <v>1.1079097750599229</v>
      </c>
      <c r="Y391">
        <v>1.1079097750599229</v>
      </c>
      <c r="Z391">
        <v>1.0713936751708411</v>
      </c>
      <c r="AA391">
        <v>2.5429975429975431</v>
      </c>
      <c r="AB391">
        <v>0.54887872803109605</v>
      </c>
    </row>
    <row r="392" spans="1:28" x14ac:dyDescent="0.25">
      <c r="A392">
        <v>8</v>
      </c>
      <c r="B392">
        <v>33</v>
      </c>
      <c r="C392">
        <v>11</v>
      </c>
      <c r="D392">
        <v>2234</v>
      </c>
      <c r="E392">
        <v>51</v>
      </c>
      <c r="F392">
        <v>5</v>
      </c>
      <c r="G392">
        <v>5.6390726435929537</v>
      </c>
      <c r="H392" t="s">
        <v>267</v>
      </c>
      <c r="I392" t="s">
        <v>35</v>
      </c>
      <c r="J392">
        <v>0</v>
      </c>
      <c r="K392">
        <v>62</v>
      </c>
      <c r="L392" t="s">
        <v>238</v>
      </c>
      <c r="M392">
        <v>2442</v>
      </c>
      <c r="N392">
        <v>7.3590395860373974</v>
      </c>
      <c r="O392">
        <v>10.84189119003713</v>
      </c>
      <c r="P392">
        <v>9.9772358108311892</v>
      </c>
      <c r="Q392">
        <v>18.715205129235979</v>
      </c>
      <c r="R392">
        <v>1</v>
      </c>
      <c r="S392" t="s">
        <v>196</v>
      </c>
      <c r="T392">
        <v>2020</v>
      </c>
      <c r="U392" s="1">
        <v>45901.600802198707</v>
      </c>
      <c r="V392" t="s">
        <v>32</v>
      </c>
      <c r="W392" t="s">
        <v>130</v>
      </c>
      <c r="X392">
        <v>1.0145831393427149</v>
      </c>
      <c r="Y392">
        <v>0.8866706134174277</v>
      </c>
      <c r="Z392">
        <v>0.15810880996286869</v>
      </c>
      <c r="AA392">
        <v>2.2850122850122849</v>
      </c>
      <c r="AB392">
        <v>0.39957829938711792</v>
      </c>
    </row>
    <row r="393" spans="1:28" x14ac:dyDescent="0.25">
      <c r="A393">
        <v>0</v>
      </c>
      <c r="B393">
        <v>28</v>
      </c>
      <c r="C393">
        <v>11</v>
      </c>
      <c r="D393">
        <v>2543</v>
      </c>
      <c r="E393">
        <v>6</v>
      </c>
      <c r="F393">
        <v>6</v>
      </c>
      <c r="G393">
        <v>5.2325922381132841</v>
      </c>
      <c r="H393" t="s">
        <v>273</v>
      </c>
      <c r="I393" t="s">
        <v>29</v>
      </c>
      <c r="J393">
        <v>0</v>
      </c>
      <c r="K393">
        <v>38</v>
      </c>
      <c r="L393" t="s">
        <v>228</v>
      </c>
      <c r="M393">
        <v>1413</v>
      </c>
      <c r="N393">
        <v>0.64458010531961918</v>
      </c>
      <c r="O393">
        <v>8.9488533418625593</v>
      </c>
      <c r="P393">
        <v>2.4305378440767531</v>
      </c>
      <c r="Q393">
        <v>6.357380710542202</v>
      </c>
      <c r="R393">
        <v>2</v>
      </c>
      <c r="S393" t="s">
        <v>196</v>
      </c>
      <c r="T393">
        <v>2020</v>
      </c>
      <c r="U393" s="1">
        <v>45901.600802198707</v>
      </c>
      <c r="V393" t="s">
        <v>32</v>
      </c>
      <c r="W393" t="s">
        <v>130</v>
      </c>
      <c r="X393">
        <v>1.2292077632496461</v>
      </c>
      <c r="Y393">
        <v>1.1466591943276321</v>
      </c>
      <c r="Z393">
        <v>2.0511466581374411</v>
      </c>
      <c r="AA393">
        <v>2.420382165605095</v>
      </c>
      <c r="AB393">
        <v>0.56999065871736043</v>
      </c>
    </row>
    <row r="394" spans="1:28" x14ac:dyDescent="0.25">
      <c r="A394">
        <v>12</v>
      </c>
      <c r="B394">
        <v>32</v>
      </c>
      <c r="C394">
        <v>27</v>
      </c>
      <c r="D394">
        <v>2370</v>
      </c>
      <c r="E394">
        <v>62</v>
      </c>
      <c r="F394">
        <v>20</v>
      </c>
      <c r="G394">
        <v>16.495628118515011</v>
      </c>
      <c r="H394" t="s">
        <v>209</v>
      </c>
      <c r="I394" t="s">
        <v>29</v>
      </c>
      <c r="J394">
        <v>0</v>
      </c>
      <c r="K394">
        <v>128</v>
      </c>
      <c r="L394" t="s">
        <v>195</v>
      </c>
      <c r="M394">
        <v>2614</v>
      </c>
      <c r="N394">
        <v>8.9962563198059797</v>
      </c>
      <c r="O394">
        <v>24.671546146273609</v>
      </c>
      <c r="P394">
        <v>9.5459427083842456</v>
      </c>
      <c r="Q394">
        <v>28.832715107128021</v>
      </c>
      <c r="R394">
        <v>0</v>
      </c>
      <c r="S394" t="s">
        <v>196</v>
      </c>
      <c r="T394">
        <v>2021</v>
      </c>
      <c r="U394" s="1">
        <v>45901.600802198707</v>
      </c>
      <c r="V394" t="s">
        <v>32</v>
      </c>
      <c r="W394" t="s">
        <v>138</v>
      </c>
      <c r="X394">
        <v>1.094378108283987</v>
      </c>
      <c r="Y394">
        <v>1.212442463924827</v>
      </c>
      <c r="Z394">
        <v>2.328453853726387</v>
      </c>
      <c r="AA394">
        <v>4.4070390206579946</v>
      </c>
      <c r="AB394">
        <v>0.84944114505150159</v>
      </c>
    </row>
    <row r="395" spans="1:28" x14ac:dyDescent="0.25">
      <c r="A395">
        <v>4</v>
      </c>
      <c r="B395">
        <v>33</v>
      </c>
      <c r="C395">
        <v>17</v>
      </c>
      <c r="D395">
        <v>897</v>
      </c>
      <c r="E395">
        <v>19</v>
      </c>
      <c r="F395">
        <v>17</v>
      </c>
      <c r="G395">
        <v>10.18762641400099</v>
      </c>
      <c r="H395" t="s">
        <v>252</v>
      </c>
      <c r="I395" t="s">
        <v>35</v>
      </c>
      <c r="J395">
        <v>0</v>
      </c>
      <c r="K395">
        <v>55</v>
      </c>
      <c r="L395" t="s">
        <v>228</v>
      </c>
      <c r="M395">
        <v>2183</v>
      </c>
      <c r="N395">
        <v>2.729098223149776</v>
      </c>
      <c r="O395">
        <v>10.18762641400099</v>
      </c>
      <c r="P395">
        <v>3.4264188837260008</v>
      </c>
      <c r="Q395">
        <v>14.67211691103876</v>
      </c>
      <c r="R395">
        <v>5</v>
      </c>
      <c r="S395" t="s">
        <v>196</v>
      </c>
      <c r="T395">
        <v>2021</v>
      </c>
      <c r="U395" s="1">
        <v>45901.600802198707</v>
      </c>
      <c r="V395" t="s">
        <v>32</v>
      </c>
      <c r="W395" t="s">
        <v>138</v>
      </c>
      <c r="X395">
        <v>1.668690950095763</v>
      </c>
      <c r="Y395">
        <v>1.668690950095763</v>
      </c>
      <c r="Z395">
        <v>6.812373585999012</v>
      </c>
      <c r="AA395">
        <v>2.2675217590471828</v>
      </c>
      <c r="AB395">
        <v>0.42001208303256482</v>
      </c>
    </row>
    <row r="396" spans="1:28" x14ac:dyDescent="0.25">
      <c r="A396">
        <v>5</v>
      </c>
      <c r="B396">
        <v>37</v>
      </c>
      <c r="C396">
        <v>17</v>
      </c>
      <c r="D396">
        <v>2290</v>
      </c>
      <c r="E396">
        <v>58</v>
      </c>
      <c r="F396">
        <v>14</v>
      </c>
      <c r="G396">
        <v>10.87679260596633</v>
      </c>
      <c r="H396" t="s">
        <v>236</v>
      </c>
      <c r="I396" t="s">
        <v>29</v>
      </c>
      <c r="J396">
        <v>0</v>
      </c>
      <c r="K396">
        <v>90</v>
      </c>
      <c r="L396" t="s">
        <v>215</v>
      </c>
      <c r="M396">
        <v>3098</v>
      </c>
      <c r="N396">
        <v>6.3949398696422577</v>
      </c>
      <c r="O396">
        <v>14.59305661916733</v>
      </c>
      <c r="P396">
        <v>6.775518755428493</v>
      </c>
      <c r="Q396">
        <v>20.081815230660141</v>
      </c>
      <c r="R396">
        <v>9</v>
      </c>
      <c r="S396" t="s">
        <v>196</v>
      </c>
      <c r="T396">
        <v>2021</v>
      </c>
      <c r="U396" s="1">
        <v>45901.600802198707</v>
      </c>
      <c r="V396" t="s">
        <v>32</v>
      </c>
      <c r="W396" t="s">
        <v>138</v>
      </c>
      <c r="X396">
        <v>1.164937575700985</v>
      </c>
      <c r="Y396">
        <v>1.2871441524333631</v>
      </c>
      <c r="Z396">
        <v>2.4069433808326721</v>
      </c>
      <c r="AA396">
        <v>2.6145900581020012</v>
      </c>
      <c r="AB396">
        <v>0.42394289726438328</v>
      </c>
    </row>
    <row r="397" spans="1:28" x14ac:dyDescent="0.25">
      <c r="A397">
        <v>3</v>
      </c>
      <c r="B397">
        <v>34</v>
      </c>
      <c r="C397">
        <v>17</v>
      </c>
      <c r="D397">
        <v>4229</v>
      </c>
      <c r="E397">
        <v>25</v>
      </c>
      <c r="F397">
        <v>12</v>
      </c>
      <c r="G397">
        <v>11.996979652903971</v>
      </c>
      <c r="H397" t="s">
        <v>275</v>
      </c>
      <c r="I397" t="s">
        <v>29</v>
      </c>
      <c r="J397">
        <v>2</v>
      </c>
      <c r="K397">
        <v>106</v>
      </c>
      <c r="L397" t="s">
        <v>213</v>
      </c>
      <c r="M397">
        <v>2942</v>
      </c>
      <c r="N397">
        <v>1.6105903144925831</v>
      </c>
      <c r="O397">
        <v>15.7133716782555</v>
      </c>
      <c r="P397">
        <v>3.3554627792909741</v>
      </c>
      <c r="Q397">
        <v>13.88272758573294</v>
      </c>
      <c r="R397">
        <v>5</v>
      </c>
      <c r="S397" t="s">
        <v>196</v>
      </c>
      <c r="T397">
        <v>2021</v>
      </c>
      <c r="U397" s="1">
        <v>45901.600802198707</v>
      </c>
      <c r="V397" t="s">
        <v>32</v>
      </c>
      <c r="W397" t="s">
        <v>138</v>
      </c>
      <c r="X397">
        <v>1.08188111043825</v>
      </c>
      <c r="Y397">
        <v>1.0002517589579549</v>
      </c>
      <c r="Z397">
        <v>1.286628321744502</v>
      </c>
      <c r="AA397">
        <v>3.2426920462270572</v>
      </c>
      <c r="AB397">
        <v>0.48069457887253397</v>
      </c>
    </row>
    <row r="398" spans="1:28" x14ac:dyDescent="0.25">
      <c r="A398">
        <v>10</v>
      </c>
      <c r="B398">
        <v>35</v>
      </c>
      <c r="C398">
        <v>17</v>
      </c>
      <c r="D398">
        <v>7008</v>
      </c>
      <c r="E398">
        <v>68</v>
      </c>
      <c r="F398">
        <v>17</v>
      </c>
      <c r="G398">
        <v>14.59601171780378</v>
      </c>
      <c r="H398" t="s">
        <v>292</v>
      </c>
      <c r="I398" t="s">
        <v>35</v>
      </c>
      <c r="J398">
        <v>0</v>
      </c>
      <c r="K398">
        <v>80</v>
      </c>
      <c r="L398" t="s">
        <v>195</v>
      </c>
      <c r="M398">
        <v>2712</v>
      </c>
      <c r="N398">
        <v>9.2338120331987739</v>
      </c>
      <c r="O398">
        <v>14.59601171780378</v>
      </c>
      <c r="P398">
        <v>11.666109897196289</v>
      </c>
      <c r="Q398">
        <v>31.057188913226131</v>
      </c>
      <c r="R398">
        <v>6</v>
      </c>
      <c r="S398" t="s">
        <v>196</v>
      </c>
      <c r="T398">
        <v>2021</v>
      </c>
      <c r="U398" s="1">
        <v>45901.600802198707</v>
      </c>
      <c r="V398" t="s">
        <v>32</v>
      </c>
      <c r="W398" t="s">
        <v>138</v>
      </c>
      <c r="X398">
        <v>1.1647017232292241</v>
      </c>
      <c r="Y398">
        <v>1.1647017232292241</v>
      </c>
      <c r="Z398">
        <v>2.4039882821962242</v>
      </c>
      <c r="AA398">
        <v>2.6548672566371678</v>
      </c>
      <c r="AB398">
        <v>0.48438091983862092</v>
      </c>
    </row>
    <row r="399" spans="1:28" x14ac:dyDescent="0.25">
      <c r="A399">
        <v>1</v>
      </c>
      <c r="B399">
        <v>37</v>
      </c>
      <c r="C399">
        <v>16</v>
      </c>
      <c r="D399">
        <v>6219</v>
      </c>
      <c r="E399">
        <v>28</v>
      </c>
      <c r="F399">
        <v>14</v>
      </c>
      <c r="G399">
        <v>8.4094098955392838</v>
      </c>
      <c r="H399" t="s">
        <v>293</v>
      </c>
      <c r="I399" t="s">
        <v>29</v>
      </c>
      <c r="J399">
        <v>0</v>
      </c>
      <c r="K399">
        <v>86</v>
      </c>
      <c r="L399" t="s">
        <v>266</v>
      </c>
      <c r="M399">
        <v>2848</v>
      </c>
      <c r="N399">
        <v>1.566930604167283</v>
      </c>
      <c r="O399">
        <v>11.3825228586793</v>
      </c>
      <c r="P399">
        <v>1.472796482034028</v>
      </c>
      <c r="Q399">
        <v>8.1960384696722031</v>
      </c>
      <c r="R399">
        <v>8</v>
      </c>
      <c r="S399" t="s">
        <v>196</v>
      </c>
      <c r="T399">
        <v>2021</v>
      </c>
      <c r="U399" s="1">
        <v>45901.600802198707</v>
      </c>
      <c r="V399" t="s">
        <v>32</v>
      </c>
      <c r="W399" t="s">
        <v>138</v>
      </c>
      <c r="X399">
        <v>1.405663770558548</v>
      </c>
      <c r="Y399">
        <v>1.664801713069809</v>
      </c>
      <c r="Z399">
        <v>4.6174771413207036</v>
      </c>
      <c r="AA399">
        <v>2.7176966292134832</v>
      </c>
      <c r="AB399">
        <v>0.35970051168579242</v>
      </c>
    </row>
    <row r="400" spans="1:28" x14ac:dyDescent="0.25">
      <c r="A400">
        <v>4</v>
      </c>
      <c r="B400">
        <v>37</v>
      </c>
      <c r="C400">
        <v>14</v>
      </c>
      <c r="D400">
        <v>866</v>
      </c>
      <c r="E400">
        <v>35</v>
      </c>
      <c r="F400">
        <v>8</v>
      </c>
      <c r="G400">
        <v>8.2799903796985745</v>
      </c>
      <c r="H400" t="s">
        <v>286</v>
      </c>
      <c r="I400" t="s">
        <v>29</v>
      </c>
      <c r="J400">
        <v>0</v>
      </c>
      <c r="K400">
        <v>97</v>
      </c>
      <c r="L400" t="s">
        <v>271</v>
      </c>
      <c r="M400">
        <v>3132</v>
      </c>
      <c r="N400">
        <v>3.919130955357105</v>
      </c>
      <c r="O400">
        <v>13.48293875623494</v>
      </c>
      <c r="P400">
        <v>2.9624599032104011</v>
      </c>
      <c r="Q400">
        <v>11.48772154282778</v>
      </c>
      <c r="R400">
        <v>0</v>
      </c>
      <c r="S400" t="s">
        <v>196</v>
      </c>
      <c r="T400">
        <v>2021</v>
      </c>
      <c r="U400" s="1">
        <v>45901.600802198707</v>
      </c>
      <c r="V400" t="s">
        <v>32</v>
      </c>
      <c r="W400" t="s">
        <v>138</v>
      </c>
      <c r="X400">
        <v>1.038349298555254</v>
      </c>
      <c r="Y400">
        <v>0.9661846974623215</v>
      </c>
      <c r="Z400">
        <v>0.51706124376505613</v>
      </c>
      <c r="AA400">
        <v>2.7873563218390811</v>
      </c>
      <c r="AB400">
        <v>0.38744076885732598</v>
      </c>
    </row>
    <row r="401" spans="1:28" x14ac:dyDescent="0.25">
      <c r="A401">
        <v>7</v>
      </c>
      <c r="B401">
        <v>35</v>
      </c>
      <c r="C401">
        <v>13</v>
      </c>
      <c r="D401">
        <v>2186</v>
      </c>
      <c r="E401">
        <v>35</v>
      </c>
      <c r="F401">
        <v>10</v>
      </c>
      <c r="G401">
        <v>9.8207054845988768</v>
      </c>
      <c r="H401" t="s">
        <v>272</v>
      </c>
      <c r="I401" t="s">
        <v>35</v>
      </c>
      <c r="J401">
        <v>0</v>
      </c>
      <c r="K401">
        <v>81</v>
      </c>
      <c r="L401" t="s">
        <v>223</v>
      </c>
      <c r="M401">
        <v>2737</v>
      </c>
      <c r="N401">
        <v>5.4121425906196237</v>
      </c>
      <c r="O401">
        <v>13.537092285230759</v>
      </c>
      <c r="P401">
        <v>3.5549608878791328</v>
      </c>
      <c r="Q401">
        <v>17.606571611016989</v>
      </c>
      <c r="R401">
        <v>7</v>
      </c>
      <c r="S401" t="s">
        <v>196</v>
      </c>
      <c r="T401">
        <v>2021</v>
      </c>
      <c r="U401" s="1">
        <v>45901.600802198707</v>
      </c>
      <c r="V401" t="s">
        <v>32</v>
      </c>
      <c r="W401" t="s">
        <v>138</v>
      </c>
      <c r="X401">
        <v>0.96032439803806802</v>
      </c>
      <c r="Y401">
        <v>1.0182567856945</v>
      </c>
      <c r="Z401">
        <v>-0.53709228523075581</v>
      </c>
      <c r="AA401">
        <v>2.6635001826817679</v>
      </c>
      <c r="AB401">
        <v>0.44513639228014912</v>
      </c>
    </row>
    <row r="402" spans="1:28" x14ac:dyDescent="0.25">
      <c r="A402">
        <v>2</v>
      </c>
      <c r="B402">
        <v>28</v>
      </c>
      <c r="C402">
        <v>12</v>
      </c>
      <c r="D402">
        <v>555</v>
      </c>
      <c r="E402">
        <v>45</v>
      </c>
      <c r="F402">
        <v>8</v>
      </c>
      <c r="G402">
        <v>8.1420929599553347</v>
      </c>
      <c r="H402" t="s">
        <v>294</v>
      </c>
      <c r="I402" t="s">
        <v>35</v>
      </c>
      <c r="J402">
        <v>0</v>
      </c>
      <c r="K402">
        <v>61</v>
      </c>
      <c r="L402" t="s">
        <v>198</v>
      </c>
      <c r="M402">
        <v>1845</v>
      </c>
      <c r="N402">
        <v>4.6731031220406294</v>
      </c>
      <c r="O402">
        <v>11.85847485996783</v>
      </c>
      <c r="P402">
        <v>6.8302474077790976</v>
      </c>
      <c r="Q402">
        <v>15.699477111920711</v>
      </c>
      <c r="R402">
        <v>3</v>
      </c>
      <c r="S402" t="s">
        <v>196</v>
      </c>
      <c r="T402">
        <v>2021</v>
      </c>
      <c r="U402" s="1">
        <v>45901.600802198707</v>
      </c>
      <c r="V402" t="s">
        <v>32</v>
      </c>
      <c r="W402" t="s">
        <v>138</v>
      </c>
      <c r="X402">
        <v>1.011934514488869</v>
      </c>
      <c r="Y402">
        <v>0.98254834958846815</v>
      </c>
      <c r="Z402">
        <v>0.1415251400321722</v>
      </c>
      <c r="AA402">
        <v>2.975609756097561</v>
      </c>
      <c r="AB402">
        <v>0.57846218829111351</v>
      </c>
    </row>
    <row r="403" spans="1:28" x14ac:dyDescent="0.25">
      <c r="A403">
        <v>5</v>
      </c>
      <c r="B403">
        <v>36</v>
      </c>
      <c r="C403">
        <v>12</v>
      </c>
      <c r="D403">
        <v>2275</v>
      </c>
      <c r="E403">
        <v>25</v>
      </c>
      <c r="F403">
        <v>12</v>
      </c>
      <c r="G403">
        <v>7.5283734034746876</v>
      </c>
      <c r="H403" t="s">
        <v>295</v>
      </c>
      <c r="I403" t="s">
        <v>35</v>
      </c>
      <c r="J403">
        <v>1</v>
      </c>
      <c r="K403">
        <v>50</v>
      </c>
      <c r="L403" t="s">
        <v>201</v>
      </c>
      <c r="M403">
        <v>1879</v>
      </c>
      <c r="N403">
        <v>3.6459022108465429</v>
      </c>
      <c r="O403">
        <v>7.5283734034746876</v>
      </c>
      <c r="P403">
        <v>4.4162845173850664</v>
      </c>
      <c r="Q403">
        <v>14.41517252661288</v>
      </c>
      <c r="R403">
        <v>3</v>
      </c>
      <c r="S403" t="s">
        <v>196</v>
      </c>
      <c r="T403">
        <v>2021</v>
      </c>
      <c r="U403" s="1">
        <v>45901.600802198707</v>
      </c>
      <c r="V403" t="s">
        <v>32</v>
      </c>
      <c r="W403" t="s">
        <v>138</v>
      </c>
      <c r="X403">
        <v>1.5939698201554999</v>
      </c>
      <c r="Y403">
        <v>1.5939698201554999</v>
      </c>
      <c r="Z403">
        <v>4.4716265965253124</v>
      </c>
      <c r="AA403">
        <v>2.3948908994145821</v>
      </c>
      <c r="AB403">
        <v>0.3605926590275263</v>
      </c>
    </row>
    <row r="404" spans="1:28" x14ac:dyDescent="0.25">
      <c r="A404">
        <v>2</v>
      </c>
      <c r="B404">
        <v>35</v>
      </c>
      <c r="C404">
        <v>11</v>
      </c>
      <c r="D404">
        <v>2098</v>
      </c>
      <c r="E404">
        <v>15</v>
      </c>
      <c r="F404">
        <v>9</v>
      </c>
      <c r="G404">
        <v>8.2528811357915401</v>
      </c>
      <c r="H404" t="s">
        <v>208</v>
      </c>
      <c r="I404" t="s">
        <v>29</v>
      </c>
      <c r="J404">
        <v>0</v>
      </c>
      <c r="K404">
        <v>54</v>
      </c>
      <c r="L404" t="s">
        <v>201</v>
      </c>
      <c r="M404">
        <v>1829</v>
      </c>
      <c r="N404">
        <v>1.857141877524555</v>
      </c>
      <c r="O404">
        <v>10.48271519690752</v>
      </c>
      <c r="P404">
        <v>2.1885673254728322</v>
      </c>
      <c r="Q404">
        <v>10.290383666753771</v>
      </c>
      <c r="R404">
        <v>7</v>
      </c>
      <c r="S404" t="s">
        <v>196</v>
      </c>
      <c r="T404">
        <v>2021</v>
      </c>
      <c r="U404" s="1">
        <v>45901.600802198707</v>
      </c>
      <c r="V404" t="s">
        <v>32</v>
      </c>
      <c r="W404" t="s">
        <v>138</v>
      </c>
      <c r="X404">
        <v>1.0493464520761839</v>
      </c>
      <c r="Y404">
        <v>1.0905282472769799</v>
      </c>
      <c r="Z404">
        <v>0.51728480309247971</v>
      </c>
      <c r="AA404">
        <v>2.6571897211591029</v>
      </c>
      <c r="AB404">
        <v>0.51582524205668501</v>
      </c>
    </row>
    <row r="405" spans="1:28" x14ac:dyDescent="0.25">
      <c r="A405">
        <v>6</v>
      </c>
      <c r="B405">
        <v>36</v>
      </c>
      <c r="C405">
        <v>11</v>
      </c>
      <c r="D405">
        <v>5682</v>
      </c>
      <c r="E405">
        <v>45</v>
      </c>
      <c r="F405">
        <v>10</v>
      </c>
      <c r="G405">
        <v>5.719137305393815</v>
      </c>
      <c r="H405" t="s">
        <v>296</v>
      </c>
      <c r="I405" t="s">
        <v>35</v>
      </c>
      <c r="J405">
        <v>0</v>
      </c>
      <c r="K405">
        <v>70</v>
      </c>
      <c r="L405" t="s">
        <v>225</v>
      </c>
      <c r="M405">
        <v>2653</v>
      </c>
      <c r="N405">
        <v>5.6121930787339807</v>
      </c>
      <c r="O405">
        <v>7.2056882176548243</v>
      </c>
      <c r="P405">
        <v>5.3321308996528387</v>
      </c>
      <c r="Q405">
        <v>12.68410770222545</v>
      </c>
      <c r="R405">
        <v>3</v>
      </c>
      <c r="S405" t="s">
        <v>196</v>
      </c>
      <c r="T405">
        <v>2021</v>
      </c>
      <c r="U405" s="1">
        <v>45901.600802198707</v>
      </c>
      <c r="V405" t="s">
        <v>32</v>
      </c>
      <c r="W405" t="s">
        <v>138</v>
      </c>
      <c r="X405">
        <v>1.526571739955199</v>
      </c>
      <c r="Y405">
        <v>1.748515460639287</v>
      </c>
      <c r="Z405">
        <v>3.7943117823451762</v>
      </c>
      <c r="AA405">
        <v>2.3746701846965701</v>
      </c>
      <c r="AB405">
        <v>0.2444447567240611</v>
      </c>
    </row>
    <row r="406" spans="1:28" x14ac:dyDescent="0.25">
      <c r="A406">
        <v>1</v>
      </c>
      <c r="B406">
        <v>17</v>
      </c>
      <c r="C406">
        <v>10</v>
      </c>
      <c r="D406">
        <v>318</v>
      </c>
      <c r="E406">
        <v>8</v>
      </c>
      <c r="F406">
        <v>10</v>
      </c>
      <c r="G406">
        <v>8.8335198434069753</v>
      </c>
      <c r="H406" t="s">
        <v>105</v>
      </c>
      <c r="I406" t="s">
        <v>29</v>
      </c>
      <c r="J406">
        <v>0</v>
      </c>
      <c r="K406">
        <v>36</v>
      </c>
      <c r="L406" t="s">
        <v>198</v>
      </c>
      <c r="M406">
        <v>1105</v>
      </c>
      <c r="N406">
        <v>1.302035298198462</v>
      </c>
      <c r="O406">
        <v>8.8335198434069753</v>
      </c>
      <c r="P406">
        <v>2.604212311096489</v>
      </c>
      <c r="Q406">
        <v>11.53849577624351</v>
      </c>
      <c r="R406">
        <v>0</v>
      </c>
      <c r="S406" t="s">
        <v>196</v>
      </c>
      <c r="T406">
        <v>2021</v>
      </c>
      <c r="U406" s="1">
        <v>45901.600802198707</v>
      </c>
      <c r="V406" t="s">
        <v>32</v>
      </c>
      <c r="W406" t="s">
        <v>138</v>
      </c>
      <c r="X406">
        <v>1.132051569167374</v>
      </c>
      <c r="Y406">
        <v>1.132051569167374</v>
      </c>
      <c r="Z406">
        <v>1.166480156593025</v>
      </c>
      <c r="AA406">
        <v>2.932126696832579</v>
      </c>
      <c r="AB406">
        <v>0.71947220444038718</v>
      </c>
    </row>
    <row r="407" spans="1:28" x14ac:dyDescent="0.25">
      <c r="A407">
        <v>0</v>
      </c>
      <c r="B407">
        <v>31</v>
      </c>
      <c r="C407">
        <v>10</v>
      </c>
      <c r="D407">
        <v>2117</v>
      </c>
      <c r="E407">
        <v>31</v>
      </c>
      <c r="F407">
        <v>10</v>
      </c>
      <c r="G407">
        <v>7.7222982905805111</v>
      </c>
      <c r="H407" t="s">
        <v>297</v>
      </c>
      <c r="I407" t="s">
        <v>35</v>
      </c>
      <c r="J407">
        <v>0</v>
      </c>
      <c r="K407">
        <v>64</v>
      </c>
      <c r="L407" t="s">
        <v>195</v>
      </c>
      <c r="M407">
        <v>1733</v>
      </c>
      <c r="N407">
        <v>2.2709937002509828</v>
      </c>
      <c r="O407">
        <v>7.7222982905805111</v>
      </c>
      <c r="P407">
        <v>6.0375092644244432</v>
      </c>
      <c r="Q407">
        <v>13.96077854558826</v>
      </c>
      <c r="R407">
        <v>2</v>
      </c>
      <c r="S407" t="s">
        <v>196</v>
      </c>
      <c r="T407">
        <v>2021</v>
      </c>
      <c r="U407" s="1">
        <v>45901.600802198707</v>
      </c>
      <c r="V407" t="s">
        <v>32</v>
      </c>
      <c r="W407" t="s">
        <v>138</v>
      </c>
      <c r="X407">
        <v>1.294951272757461</v>
      </c>
      <c r="Y407">
        <v>1.294951272757461</v>
      </c>
      <c r="Z407">
        <v>2.2777017094194889</v>
      </c>
      <c r="AA407">
        <v>3.323716099249856</v>
      </c>
      <c r="AB407">
        <v>0.40104261174393879</v>
      </c>
    </row>
    <row r="408" spans="1:28" x14ac:dyDescent="0.25">
      <c r="A408">
        <v>5</v>
      </c>
      <c r="B408">
        <v>35</v>
      </c>
      <c r="C408">
        <v>10</v>
      </c>
      <c r="D408">
        <v>2155</v>
      </c>
      <c r="E408">
        <v>30</v>
      </c>
      <c r="F408">
        <v>10</v>
      </c>
      <c r="G408">
        <v>6.7547068754211068</v>
      </c>
      <c r="H408" t="s">
        <v>274</v>
      </c>
      <c r="I408" t="s">
        <v>29</v>
      </c>
      <c r="J408">
        <v>0</v>
      </c>
      <c r="K408">
        <v>46</v>
      </c>
      <c r="L408" t="s">
        <v>234</v>
      </c>
      <c r="M408">
        <v>1940</v>
      </c>
      <c r="N408">
        <v>4.0603734562173486</v>
      </c>
      <c r="O408">
        <v>7.4979798952117562</v>
      </c>
      <c r="P408">
        <v>1.1923032226040959</v>
      </c>
      <c r="Q408">
        <v>10.36211887747049</v>
      </c>
      <c r="R408">
        <v>2</v>
      </c>
      <c r="S408" t="s">
        <v>196</v>
      </c>
      <c r="T408">
        <v>2021</v>
      </c>
      <c r="U408" s="1">
        <v>45901.600802198707</v>
      </c>
      <c r="V408" t="s">
        <v>32</v>
      </c>
      <c r="W408" t="s">
        <v>138</v>
      </c>
      <c r="X408">
        <v>1.3336925598301539</v>
      </c>
      <c r="Y408">
        <v>1.4804491422696371</v>
      </c>
      <c r="Z408">
        <v>2.5020201047882442</v>
      </c>
      <c r="AA408">
        <v>2.134020618556701</v>
      </c>
      <c r="AB408">
        <v>0.34784442812838051</v>
      </c>
    </row>
    <row r="409" spans="1:28" x14ac:dyDescent="0.25">
      <c r="A409">
        <v>0</v>
      </c>
      <c r="B409">
        <v>33</v>
      </c>
      <c r="C409">
        <v>10</v>
      </c>
      <c r="D409">
        <v>2543</v>
      </c>
      <c r="E409">
        <v>15</v>
      </c>
      <c r="F409">
        <v>7</v>
      </c>
      <c r="G409">
        <v>6.273163765668869</v>
      </c>
      <c r="H409" t="s">
        <v>273</v>
      </c>
      <c r="I409" t="s">
        <v>29</v>
      </c>
      <c r="J409">
        <v>0</v>
      </c>
      <c r="K409">
        <v>38</v>
      </c>
      <c r="L409" t="s">
        <v>228</v>
      </c>
      <c r="M409">
        <v>1574</v>
      </c>
      <c r="N409">
        <v>2.3201704546809201</v>
      </c>
      <c r="O409">
        <v>8.5029936395585537</v>
      </c>
      <c r="P409">
        <v>2.433038897812366</v>
      </c>
      <c r="Q409">
        <v>8.3937133718281984</v>
      </c>
      <c r="R409">
        <v>4</v>
      </c>
      <c r="S409" t="s">
        <v>196</v>
      </c>
      <c r="T409">
        <v>2021</v>
      </c>
      <c r="U409" s="1">
        <v>45901.600802198707</v>
      </c>
      <c r="V409" t="s">
        <v>32</v>
      </c>
      <c r="W409" t="s">
        <v>138</v>
      </c>
      <c r="X409">
        <v>1.176056389537552</v>
      </c>
      <c r="Y409">
        <v>1.115864380634997</v>
      </c>
      <c r="Z409">
        <v>1.4970063604414461</v>
      </c>
      <c r="AA409">
        <v>2.1728081321473951</v>
      </c>
      <c r="AB409">
        <v>0.48619404546395789</v>
      </c>
    </row>
    <row r="410" spans="1:28" x14ac:dyDescent="0.25">
      <c r="A410">
        <v>0</v>
      </c>
      <c r="B410">
        <v>34</v>
      </c>
      <c r="C410">
        <v>10</v>
      </c>
      <c r="D410">
        <v>2589</v>
      </c>
      <c r="E410">
        <v>6</v>
      </c>
      <c r="F410">
        <v>10</v>
      </c>
      <c r="G410">
        <v>8.3863882906734943</v>
      </c>
      <c r="H410" t="s">
        <v>290</v>
      </c>
      <c r="I410" t="s">
        <v>29</v>
      </c>
      <c r="J410">
        <v>0</v>
      </c>
      <c r="K410">
        <v>61</v>
      </c>
      <c r="L410" t="s">
        <v>203</v>
      </c>
      <c r="M410">
        <v>1769</v>
      </c>
      <c r="N410">
        <v>0.31488770060241222</v>
      </c>
      <c r="O410">
        <v>8.3863882906734943</v>
      </c>
      <c r="P410">
        <v>3.119460610672832</v>
      </c>
      <c r="Q410">
        <v>10.744975220412019</v>
      </c>
      <c r="R410">
        <v>6</v>
      </c>
      <c r="S410" t="s">
        <v>196</v>
      </c>
      <c r="T410">
        <v>2021</v>
      </c>
      <c r="U410" s="1">
        <v>45901.600802198707</v>
      </c>
      <c r="V410" t="s">
        <v>32</v>
      </c>
      <c r="W410" t="s">
        <v>138</v>
      </c>
      <c r="X410">
        <v>1.1924084186658761</v>
      </c>
      <c r="Y410">
        <v>1.1924084186658761</v>
      </c>
      <c r="Z410">
        <v>1.6136117093265061</v>
      </c>
      <c r="AA410">
        <v>3.103448275862069</v>
      </c>
      <c r="AB410">
        <v>0.4266675783836148</v>
      </c>
    </row>
    <row r="411" spans="1:28" x14ac:dyDescent="0.25">
      <c r="A411">
        <v>3</v>
      </c>
      <c r="B411">
        <v>23</v>
      </c>
      <c r="C411">
        <v>10</v>
      </c>
      <c r="D411">
        <v>8066</v>
      </c>
      <c r="E411">
        <v>15</v>
      </c>
      <c r="F411">
        <v>7</v>
      </c>
      <c r="G411">
        <v>10.592675220221279</v>
      </c>
      <c r="H411" t="s">
        <v>298</v>
      </c>
      <c r="I411" t="s">
        <v>35</v>
      </c>
      <c r="J411">
        <v>0</v>
      </c>
      <c r="K411">
        <v>62</v>
      </c>
      <c r="L411" t="s">
        <v>221</v>
      </c>
      <c r="M411">
        <v>1483</v>
      </c>
      <c r="N411">
        <v>2.3936407063156371</v>
      </c>
      <c r="O411">
        <v>12.82250524684787</v>
      </c>
      <c r="P411">
        <v>2.9565014056861401</v>
      </c>
      <c r="Q411">
        <v>14.40645799413323</v>
      </c>
      <c r="R411">
        <v>2</v>
      </c>
      <c r="S411" t="s">
        <v>196</v>
      </c>
      <c r="T411">
        <v>2021</v>
      </c>
      <c r="U411" s="1">
        <v>45901.600802198707</v>
      </c>
      <c r="V411" t="s">
        <v>32</v>
      </c>
      <c r="W411" t="s">
        <v>138</v>
      </c>
      <c r="X411">
        <v>0.77987879961743678</v>
      </c>
      <c r="Y411">
        <v>0.66083400599662412</v>
      </c>
      <c r="Z411">
        <v>-2.822505246847868</v>
      </c>
      <c r="AA411">
        <v>3.762643290627107</v>
      </c>
      <c r="AB411">
        <v>0.77816956993682285</v>
      </c>
    </row>
    <row r="412" spans="1:28" x14ac:dyDescent="0.25">
      <c r="A412">
        <v>7</v>
      </c>
      <c r="B412">
        <v>34</v>
      </c>
      <c r="C412">
        <v>23</v>
      </c>
      <c r="D412">
        <v>227</v>
      </c>
      <c r="E412">
        <v>36</v>
      </c>
      <c r="F412">
        <v>23</v>
      </c>
      <c r="G412">
        <v>25.196005009114739</v>
      </c>
      <c r="H412" t="s">
        <v>299</v>
      </c>
      <c r="I412" t="s">
        <v>29</v>
      </c>
      <c r="J412">
        <v>1</v>
      </c>
      <c r="K412">
        <v>135</v>
      </c>
      <c r="L412" t="s">
        <v>198</v>
      </c>
      <c r="M412">
        <v>2862</v>
      </c>
      <c r="N412">
        <v>6.3537771571427584</v>
      </c>
      <c r="O412">
        <v>25.93928100913763</v>
      </c>
      <c r="P412">
        <v>9.8714289907366037</v>
      </c>
      <c r="Q412">
        <v>36.746243976056583</v>
      </c>
      <c r="R412">
        <v>2</v>
      </c>
      <c r="S412" t="s">
        <v>196</v>
      </c>
      <c r="T412">
        <v>2022</v>
      </c>
      <c r="U412" s="1">
        <v>45901.600802198707</v>
      </c>
      <c r="V412" t="s">
        <v>32</v>
      </c>
      <c r="W412" t="s">
        <v>152</v>
      </c>
      <c r="X412">
        <v>0.88668610328473596</v>
      </c>
      <c r="Y412">
        <v>0.91284312698301462</v>
      </c>
      <c r="Z412">
        <v>-2.93928100913763</v>
      </c>
      <c r="AA412">
        <v>4.2452830188679247</v>
      </c>
      <c r="AB412">
        <v>0.81570066066470537</v>
      </c>
    </row>
    <row r="413" spans="1:28" x14ac:dyDescent="0.25">
      <c r="A413">
        <v>3</v>
      </c>
      <c r="B413">
        <v>24</v>
      </c>
      <c r="C413">
        <v>19</v>
      </c>
      <c r="D413">
        <v>2370</v>
      </c>
      <c r="E413">
        <v>48</v>
      </c>
      <c r="F413">
        <v>12</v>
      </c>
      <c r="G413">
        <v>18.006582662463192</v>
      </c>
      <c r="H413" t="s">
        <v>209</v>
      </c>
      <c r="I413" t="s">
        <v>32</v>
      </c>
      <c r="J413">
        <v>0</v>
      </c>
      <c r="K413">
        <v>107</v>
      </c>
      <c r="L413" t="s">
        <v>195</v>
      </c>
      <c r="M413">
        <v>2056</v>
      </c>
      <c r="N413">
        <v>6.2475467845797539</v>
      </c>
      <c r="O413">
        <v>23.952811844646931</v>
      </c>
      <c r="P413">
        <v>8.5794899463653564</v>
      </c>
      <c r="Q413">
        <v>25.885613620281219</v>
      </c>
      <c r="R413">
        <v>1</v>
      </c>
      <c r="S413" t="s">
        <v>196</v>
      </c>
      <c r="T413">
        <v>2022</v>
      </c>
      <c r="U413" s="1">
        <v>45901.600802198707</v>
      </c>
      <c r="V413" t="s">
        <v>32</v>
      </c>
      <c r="W413" t="s">
        <v>152</v>
      </c>
      <c r="X413">
        <v>0.79322628688565411</v>
      </c>
      <c r="Y413">
        <v>0.66642295347997338</v>
      </c>
      <c r="Z413">
        <v>-4.9528118446469307</v>
      </c>
      <c r="AA413">
        <v>4.6838521400778212</v>
      </c>
      <c r="AB413">
        <v>1.0485180282189801</v>
      </c>
    </row>
    <row r="414" spans="1:28" x14ac:dyDescent="0.25">
      <c r="A414">
        <v>2</v>
      </c>
      <c r="B414">
        <v>34</v>
      </c>
      <c r="C414">
        <v>16</v>
      </c>
      <c r="D414">
        <v>866</v>
      </c>
      <c r="E414">
        <v>22</v>
      </c>
      <c r="F414">
        <v>11</v>
      </c>
      <c r="G414">
        <v>12.15523842163384</v>
      </c>
      <c r="H414" t="s">
        <v>286</v>
      </c>
      <c r="I414" t="s">
        <v>29</v>
      </c>
      <c r="J414">
        <v>0</v>
      </c>
      <c r="K414">
        <v>93</v>
      </c>
      <c r="L414" t="s">
        <v>213</v>
      </c>
      <c r="M414">
        <v>2989</v>
      </c>
      <c r="N414">
        <v>2.0951524339616299</v>
      </c>
      <c r="O414">
        <v>15.87162376381457</v>
      </c>
      <c r="P414">
        <v>2.132707592099905</v>
      </c>
      <c r="Q414">
        <v>13.920117577537891</v>
      </c>
      <c r="R414">
        <v>2</v>
      </c>
      <c r="S414" t="s">
        <v>196</v>
      </c>
      <c r="T414">
        <v>2022</v>
      </c>
      <c r="U414" s="1">
        <v>45901.600802198707</v>
      </c>
      <c r="V414" t="s">
        <v>32</v>
      </c>
      <c r="W414" t="s">
        <v>152</v>
      </c>
      <c r="X414">
        <v>1.0080884122567291</v>
      </c>
      <c r="Y414">
        <v>0.90495962468512736</v>
      </c>
      <c r="Z414">
        <v>0.12837623618543151</v>
      </c>
      <c r="AA414">
        <v>2.8002676480428241</v>
      </c>
      <c r="AB414">
        <v>0.47790101664212481</v>
      </c>
    </row>
    <row r="415" spans="1:28" x14ac:dyDescent="0.25">
      <c r="A415">
        <v>16</v>
      </c>
      <c r="B415">
        <v>38</v>
      </c>
      <c r="C415">
        <v>15</v>
      </c>
      <c r="D415">
        <v>2270</v>
      </c>
      <c r="E415">
        <v>85</v>
      </c>
      <c r="F415">
        <v>15</v>
      </c>
      <c r="G415">
        <v>11.75119043514132</v>
      </c>
      <c r="H415" t="s">
        <v>200</v>
      </c>
      <c r="I415" t="s">
        <v>35</v>
      </c>
      <c r="J415">
        <v>0</v>
      </c>
      <c r="K415">
        <v>111</v>
      </c>
      <c r="L415" t="s">
        <v>201</v>
      </c>
      <c r="M415">
        <v>2853</v>
      </c>
      <c r="N415">
        <v>15.64358640648425</v>
      </c>
      <c r="O415">
        <v>11.75119043514132</v>
      </c>
      <c r="P415">
        <v>11.252617219462991</v>
      </c>
      <c r="Q415">
        <v>30.89370554685593</v>
      </c>
      <c r="R415">
        <v>2</v>
      </c>
      <c r="S415" t="s">
        <v>196</v>
      </c>
      <c r="T415">
        <v>2022</v>
      </c>
      <c r="U415" s="1">
        <v>45901.600802198707</v>
      </c>
      <c r="V415" t="s">
        <v>32</v>
      </c>
      <c r="W415" t="s">
        <v>152</v>
      </c>
      <c r="X415">
        <v>1.2764664212353569</v>
      </c>
      <c r="Y415">
        <v>1.2764664212353569</v>
      </c>
      <c r="Z415">
        <v>3.2488095648586768</v>
      </c>
      <c r="AA415">
        <v>3.501577287066246</v>
      </c>
      <c r="AB415">
        <v>0.37070001372685563</v>
      </c>
    </row>
    <row r="416" spans="1:28" x14ac:dyDescent="0.25">
      <c r="A416">
        <v>3</v>
      </c>
      <c r="B416">
        <v>35</v>
      </c>
      <c r="C416">
        <v>15</v>
      </c>
      <c r="D416">
        <v>2543</v>
      </c>
      <c r="E416">
        <v>22</v>
      </c>
      <c r="F416">
        <v>10</v>
      </c>
      <c r="G416">
        <v>11.17459126934409</v>
      </c>
      <c r="H416" t="s">
        <v>273</v>
      </c>
      <c r="I416" t="s">
        <v>29</v>
      </c>
      <c r="J416">
        <v>1</v>
      </c>
      <c r="K416">
        <v>63</v>
      </c>
      <c r="L416" t="s">
        <v>228</v>
      </c>
      <c r="M416">
        <v>2406</v>
      </c>
      <c r="N416">
        <v>2.921825267374516</v>
      </c>
      <c r="O416">
        <v>15.634133275598289</v>
      </c>
      <c r="P416">
        <v>3.0463933814316988</v>
      </c>
      <c r="Q416">
        <v>15.961690902709959</v>
      </c>
      <c r="R416">
        <v>2</v>
      </c>
      <c r="S416" t="s">
        <v>196</v>
      </c>
      <c r="T416">
        <v>2022</v>
      </c>
      <c r="U416" s="1">
        <v>45901.600802198707</v>
      </c>
      <c r="V416" t="s">
        <v>32</v>
      </c>
      <c r="W416" t="s">
        <v>152</v>
      </c>
      <c r="X416">
        <v>0.95943917936352496</v>
      </c>
      <c r="Y416">
        <v>0.89488731703624669</v>
      </c>
      <c r="Z416">
        <v>-0.63413327559828758</v>
      </c>
      <c r="AA416">
        <v>2.356608478802992</v>
      </c>
      <c r="AB416">
        <v>0.58481795295255445</v>
      </c>
    </row>
    <row r="417" spans="1:28" x14ac:dyDescent="0.25">
      <c r="A417">
        <v>3</v>
      </c>
      <c r="B417">
        <v>35</v>
      </c>
      <c r="C417">
        <v>15</v>
      </c>
      <c r="D417">
        <v>9002</v>
      </c>
      <c r="E417">
        <v>21</v>
      </c>
      <c r="F417">
        <v>11</v>
      </c>
      <c r="G417">
        <v>10.226548311300579</v>
      </c>
      <c r="H417" t="s">
        <v>300</v>
      </c>
      <c r="I417" t="s">
        <v>29</v>
      </c>
      <c r="J417">
        <v>1</v>
      </c>
      <c r="K417">
        <v>75</v>
      </c>
      <c r="L417" t="s">
        <v>285</v>
      </c>
      <c r="M417">
        <v>2980</v>
      </c>
      <c r="N417">
        <v>2.405640239361674</v>
      </c>
      <c r="O417">
        <v>13.942932915873831</v>
      </c>
      <c r="P417">
        <v>1.933449986390769</v>
      </c>
      <c r="Q417">
        <v>12.27048505935818</v>
      </c>
      <c r="R417">
        <v>6</v>
      </c>
      <c r="S417" t="s">
        <v>196</v>
      </c>
      <c r="T417">
        <v>2022</v>
      </c>
      <c r="U417" s="1">
        <v>45901.600802198707</v>
      </c>
      <c r="V417" t="s">
        <v>32</v>
      </c>
      <c r="W417" t="s">
        <v>152</v>
      </c>
      <c r="X417">
        <v>1.075813825577739</v>
      </c>
      <c r="Y417">
        <v>1.0756317444708829</v>
      </c>
      <c r="Z417">
        <v>1.057067084126174</v>
      </c>
      <c r="AA417">
        <v>2.26510067114094</v>
      </c>
      <c r="AB417">
        <v>0.42109528940558538</v>
      </c>
    </row>
    <row r="418" spans="1:28" x14ac:dyDescent="0.25">
      <c r="A418">
        <v>3</v>
      </c>
      <c r="B418">
        <v>35</v>
      </c>
      <c r="C418">
        <v>14</v>
      </c>
      <c r="D418">
        <v>6219</v>
      </c>
      <c r="E418">
        <v>28</v>
      </c>
      <c r="F418">
        <v>9</v>
      </c>
      <c r="G418">
        <v>7.1485270420089364</v>
      </c>
      <c r="H418" t="s">
        <v>293</v>
      </c>
      <c r="I418" t="s">
        <v>32</v>
      </c>
      <c r="J418">
        <v>0</v>
      </c>
      <c r="K418">
        <v>88</v>
      </c>
      <c r="L418" t="s">
        <v>266</v>
      </c>
      <c r="M418">
        <v>3013</v>
      </c>
      <c r="N418">
        <v>3.355746453627944</v>
      </c>
      <c r="O418">
        <v>11.60818971786648</v>
      </c>
      <c r="P418">
        <v>3.2681479174643751</v>
      </c>
      <c r="Q418">
        <v>10.86175853386521</v>
      </c>
      <c r="R418">
        <v>6</v>
      </c>
      <c r="S418" t="s">
        <v>196</v>
      </c>
      <c r="T418">
        <v>2022</v>
      </c>
      <c r="U418" s="1">
        <v>45901.600802198707</v>
      </c>
      <c r="V418" t="s">
        <v>32</v>
      </c>
      <c r="W418" t="s">
        <v>152</v>
      </c>
      <c r="X418">
        <v>1.2060450716490461</v>
      </c>
      <c r="Y418">
        <v>1.2590006230809121</v>
      </c>
      <c r="Z418">
        <v>2.3918102821335201</v>
      </c>
      <c r="AA418">
        <v>2.6286093594424158</v>
      </c>
      <c r="AB418">
        <v>0.34674313793826189</v>
      </c>
    </row>
    <row r="419" spans="1:28" x14ac:dyDescent="0.25">
      <c r="A419">
        <v>2</v>
      </c>
      <c r="B419">
        <v>36</v>
      </c>
      <c r="C419">
        <v>13</v>
      </c>
      <c r="D419">
        <v>1804</v>
      </c>
      <c r="E419">
        <v>17</v>
      </c>
      <c r="F419">
        <v>13</v>
      </c>
      <c r="G419">
        <v>14.649756819009781</v>
      </c>
      <c r="H419" t="s">
        <v>104</v>
      </c>
      <c r="I419" t="s">
        <v>29</v>
      </c>
      <c r="J419">
        <v>0</v>
      </c>
      <c r="K419">
        <v>71</v>
      </c>
      <c r="L419" t="s">
        <v>201</v>
      </c>
      <c r="M419">
        <v>1930</v>
      </c>
      <c r="N419">
        <v>1.9789961744099851</v>
      </c>
      <c r="O419">
        <v>14.649756819009781</v>
      </c>
      <c r="P419">
        <v>3.3102323040366168</v>
      </c>
      <c r="Q419">
        <v>16.116317272186279</v>
      </c>
      <c r="R419">
        <v>4</v>
      </c>
      <c r="S419" t="s">
        <v>196</v>
      </c>
      <c r="T419">
        <v>2022</v>
      </c>
      <c r="U419" s="1">
        <v>45901.600802198707</v>
      </c>
      <c r="V419" t="s">
        <v>32</v>
      </c>
      <c r="W419" t="s">
        <v>152</v>
      </c>
      <c r="X419">
        <v>0.88738674372607829</v>
      </c>
      <c r="Y419">
        <v>0.88738674372607829</v>
      </c>
      <c r="Z419">
        <v>-1.6497568190097811</v>
      </c>
      <c r="AA419">
        <v>3.3108808290155438</v>
      </c>
      <c r="AB419">
        <v>0.68314928171548206</v>
      </c>
    </row>
    <row r="420" spans="1:28" x14ac:dyDescent="0.25">
      <c r="A420">
        <v>0</v>
      </c>
      <c r="B420">
        <v>35</v>
      </c>
      <c r="C420">
        <v>13</v>
      </c>
      <c r="D420">
        <v>10948</v>
      </c>
      <c r="E420">
        <v>15</v>
      </c>
      <c r="F420">
        <v>12</v>
      </c>
      <c r="G420">
        <v>13.27593293972313</v>
      </c>
      <c r="H420" t="s">
        <v>301</v>
      </c>
      <c r="I420" t="s">
        <v>29</v>
      </c>
      <c r="J420">
        <v>0</v>
      </c>
      <c r="K420">
        <v>86</v>
      </c>
      <c r="L420" t="s">
        <v>262</v>
      </c>
      <c r="M420">
        <v>2664</v>
      </c>
      <c r="N420">
        <v>1.632543638348579</v>
      </c>
      <c r="O420">
        <v>14.01920995302498</v>
      </c>
      <c r="P420">
        <v>2.4223936777561899</v>
      </c>
      <c r="Q420">
        <v>14.273264510557061</v>
      </c>
      <c r="R420">
        <v>11</v>
      </c>
      <c r="S420" t="s">
        <v>196</v>
      </c>
      <c r="T420">
        <v>2022</v>
      </c>
      <c r="U420" s="1">
        <v>45901.600802198707</v>
      </c>
      <c r="V420" t="s">
        <v>32</v>
      </c>
      <c r="W420" t="s">
        <v>152</v>
      </c>
      <c r="X420">
        <v>0.92729904492192416</v>
      </c>
      <c r="Y420">
        <v>0.90389127863809904</v>
      </c>
      <c r="Z420">
        <v>-1.019209953024983</v>
      </c>
      <c r="AA420">
        <v>2.9054054054054061</v>
      </c>
      <c r="AB420">
        <v>0.47362195787246558</v>
      </c>
    </row>
    <row r="421" spans="1:28" x14ac:dyDescent="0.25">
      <c r="A421">
        <v>3</v>
      </c>
      <c r="B421">
        <v>37</v>
      </c>
      <c r="C421">
        <v>12</v>
      </c>
      <c r="D421">
        <v>2290</v>
      </c>
      <c r="E421">
        <v>81</v>
      </c>
      <c r="F421">
        <v>10</v>
      </c>
      <c r="G421">
        <v>8.4560828097164631</v>
      </c>
      <c r="H421" t="s">
        <v>236</v>
      </c>
      <c r="I421" t="s">
        <v>29</v>
      </c>
      <c r="J421">
        <v>0</v>
      </c>
      <c r="K421">
        <v>78</v>
      </c>
      <c r="L421" t="s">
        <v>215</v>
      </c>
      <c r="M421">
        <v>2852</v>
      </c>
      <c r="N421">
        <v>6.5436268225312233</v>
      </c>
      <c r="O421">
        <v>10.68591656163335</v>
      </c>
      <c r="P421">
        <v>8.8381923343986273</v>
      </c>
      <c r="Q421">
        <v>20.446663822978731</v>
      </c>
      <c r="R421">
        <v>4</v>
      </c>
      <c r="S421" t="s">
        <v>196</v>
      </c>
      <c r="T421">
        <v>2022</v>
      </c>
      <c r="U421" s="1">
        <v>45901.600802198707</v>
      </c>
      <c r="V421" t="s">
        <v>32</v>
      </c>
      <c r="W421" t="s">
        <v>152</v>
      </c>
      <c r="X421">
        <v>1.122973395008972</v>
      </c>
      <c r="Y421">
        <v>1.182580661167308</v>
      </c>
      <c r="Z421">
        <v>1.314083438366652</v>
      </c>
      <c r="AA421">
        <v>2.4614305750350631</v>
      </c>
      <c r="AB421">
        <v>0.33721335573176758</v>
      </c>
    </row>
    <row r="422" spans="1:28" x14ac:dyDescent="0.25">
      <c r="A422">
        <v>3</v>
      </c>
      <c r="B422">
        <v>34</v>
      </c>
      <c r="C422">
        <v>12</v>
      </c>
      <c r="D422">
        <v>6531</v>
      </c>
      <c r="E422">
        <v>31</v>
      </c>
      <c r="F422">
        <v>12</v>
      </c>
      <c r="G422">
        <v>15.47488550841808</v>
      </c>
      <c r="H422" t="s">
        <v>302</v>
      </c>
      <c r="I422" t="s">
        <v>29</v>
      </c>
      <c r="J422">
        <v>0</v>
      </c>
      <c r="K422">
        <v>63</v>
      </c>
      <c r="L422" t="s">
        <v>238</v>
      </c>
      <c r="M422">
        <v>2411</v>
      </c>
      <c r="N422">
        <v>4.6830279249697924</v>
      </c>
      <c r="O422">
        <v>15.47488550841808</v>
      </c>
      <c r="P422">
        <v>4.3219571057707071</v>
      </c>
      <c r="Q422">
        <v>21.821360316127539</v>
      </c>
      <c r="R422">
        <v>4</v>
      </c>
      <c r="S422" t="s">
        <v>196</v>
      </c>
      <c r="T422">
        <v>2022</v>
      </c>
      <c r="U422" s="1">
        <v>45901.600802198707</v>
      </c>
      <c r="V422" t="s">
        <v>32</v>
      </c>
      <c r="W422" t="s">
        <v>152</v>
      </c>
      <c r="X422">
        <v>0.77545000209999593</v>
      </c>
      <c r="Y422">
        <v>0.77545000209999593</v>
      </c>
      <c r="Z422">
        <v>-3.4748855084180832</v>
      </c>
      <c r="AA422">
        <v>2.3517212774782248</v>
      </c>
      <c r="AB422">
        <v>0.57766059550295623</v>
      </c>
    </row>
    <row r="423" spans="1:28" x14ac:dyDescent="0.25">
      <c r="A423">
        <v>4</v>
      </c>
      <c r="B423">
        <v>26</v>
      </c>
      <c r="C423">
        <v>12</v>
      </c>
      <c r="D423">
        <v>10048</v>
      </c>
      <c r="E423">
        <v>22</v>
      </c>
      <c r="F423">
        <v>12</v>
      </c>
      <c r="G423">
        <v>8.5628715716302395</v>
      </c>
      <c r="H423" t="s">
        <v>167</v>
      </c>
      <c r="I423" t="s">
        <v>29</v>
      </c>
      <c r="J423">
        <v>1</v>
      </c>
      <c r="K423">
        <v>41</v>
      </c>
      <c r="L423" t="s">
        <v>221</v>
      </c>
      <c r="M423">
        <v>1617</v>
      </c>
      <c r="N423">
        <v>4.1430556681007147</v>
      </c>
      <c r="O423">
        <v>8.5628715716302395</v>
      </c>
      <c r="P423">
        <v>3.0504662115126848</v>
      </c>
      <c r="Q423">
        <v>15.19600752368569</v>
      </c>
      <c r="R423">
        <v>4</v>
      </c>
      <c r="S423" t="s">
        <v>196</v>
      </c>
      <c r="T423">
        <v>2022</v>
      </c>
      <c r="U423" s="1">
        <v>45901.600802198707</v>
      </c>
      <c r="V423" t="s">
        <v>32</v>
      </c>
      <c r="W423" t="s">
        <v>152</v>
      </c>
      <c r="X423">
        <v>1.401399039985296</v>
      </c>
      <c r="Y423">
        <v>1.401399039985296</v>
      </c>
      <c r="Z423">
        <v>3.437128428369761</v>
      </c>
      <c r="AA423">
        <v>2.2820037105751392</v>
      </c>
      <c r="AB423">
        <v>0.47659767560094102</v>
      </c>
    </row>
    <row r="424" spans="1:28" x14ac:dyDescent="0.25">
      <c r="A424">
        <v>4</v>
      </c>
      <c r="B424">
        <v>36</v>
      </c>
      <c r="C424">
        <v>11</v>
      </c>
      <c r="D424">
        <v>8713</v>
      </c>
      <c r="E424">
        <v>28</v>
      </c>
      <c r="F424">
        <v>11</v>
      </c>
      <c r="G424">
        <v>6.0798084195703268</v>
      </c>
      <c r="H424" t="s">
        <v>303</v>
      </c>
      <c r="I424" t="s">
        <v>35</v>
      </c>
      <c r="J424">
        <v>1</v>
      </c>
      <c r="K424">
        <v>62</v>
      </c>
      <c r="L424" t="s">
        <v>215</v>
      </c>
      <c r="M424">
        <v>2333</v>
      </c>
      <c r="N424">
        <v>3.169464748352766</v>
      </c>
      <c r="O424">
        <v>6.0798084195703268</v>
      </c>
      <c r="P424">
        <v>5.0130617339164019</v>
      </c>
      <c r="Q424">
        <v>13.1403630785644</v>
      </c>
      <c r="R424">
        <v>5</v>
      </c>
      <c r="S424" t="s">
        <v>196</v>
      </c>
      <c r="T424">
        <v>2022</v>
      </c>
      <c r="U424" s="1">
        <v>45901.600802198707</v>
      </c>
      <c r="V424" t="s">
        <v>32</v>
      </c>
      <c r="W424" t="s">
        <v>152</v>
      </c>
      <c r="X424">
        <v>1.8092675362256549</v>
      </c>
      <c r="Y424">
        <v>1.8092675362256549</v>
      </c>
      <c r="Z424">
        <v>4.9201915804296732</v>
      </c>
      <c r="AA424">
        <v>2.3917702528932701</v>
      </c>
      <c r="AB424">
        <v>0.23454040195513479</v>
      </c>
    </row>
    <row r="425" spans="1:28" x14ac:dyDescent="0.25">
      <c r="A425">
        <v>3</v>
      </c>
      <c r="B425">
        <v>36</v>
      </c>
      <c r="C425">
        <v>10</v>
      </c>
      <c r="D425">
        <v>2399</v>
      </c>
      <c r="E425">
        <v>39</v>
      </c>
      <c r="F425">
        <v>9</v>
      </c>
      <c r="G425">
        <v>9.8160905819386244</v>
      </c>
      <c r="H425" t="s">
        <v>277</v>
      </c>
      <c r="I425" t="s">
        <v>35</v>
      </c>
      <c r="J425">
        <v>0</v>
      </c>
      <c r="K425">
        <v>85</v>
      </c>
      <c r="L425" t="s">
        <v>205</v>
      </c>
      <c r="M425">
        <v>2884</v>
      </c>
      <c r="N425">
        <v>6.1585189141333103</v>
      </c>
      <c r="O425">
        <v>11.30264324508607</v>
      </c>
      <c r="P425">
        <v>3.8634488387033339</v>
      </c>
      <c r="Q425">
        <v>17.581389239057899</v>
      </c>
      <c r="R425">
        <v>2</v>
      </c>
      <c r="S425" t="s">
        <v>196</v>
      </c>
      <c r="T425">
        <v>2022</v>
      </c>
      <c r="U425" s="1">
        <v>45901.600802198707</v>
      </c>
      <c r="V425" t="s">
        <v>32</v>
      </c>
      <c r="W425" t="s">
        <v>152</v>
      </c>
      <c r="X425">
        <v>0.88474879576045984</v>
      </c>
      <c r="Y425">
        <v>0.91686195485601851</v>
      </c>
      <c r="Z425">
        <v>-1.3026432450860741</v>
      </c>
      <c r="AA425">
        <v>2.65256588072122</v>
      </c>
      <c r="AB425">
        <v>0.35271771569269988</v>
      </c>
    </row>
    <row r="426" spans="1:28" x14ac:dyDescent="0.25">
      <c r="A426">
        <v>2</v>
      </c>
      <c r="B426">
        <v>31</v>
      </c>
      <c r="C426">
        <v>10</v>
      </c>
      <c r="D426">
        <v>3211</v>
      </c>
      <c r="E426">
        <v>12</v>
      </c>
      <c r="F426">
        <v>10</v>
      </c>
      <c r="G426">
        <v>11.363067630678421</v>
      </c>
      <c r="H426" t="s">
        <v>304</v>
      </c>
      <c r="I426" t="s">
        <v>35</v>
      </c>
      <c r="J426">
        <v>1</v>
      </c>
      <c r="K426">
        <v>59</v>
      </c>
      <c r="L426" t="s">
        <v>213</v>
      </c>
      <c r="M426">
        <v>2493</v>
      </c>
      <c r="N426">
        <v>1.6867957413196559</v>
      </c>
      <c r="O426">
        <v>11.363067630678421</v>
      </c>
      <c r="P426">
        <v>3.276439910754561</v>
      </c>
      <c r="Q426">
        <v>13.11323411203921</v>
      </c>
      <c r="R426">
        <v>6</v>
      </c>
      <c r="S426" t="s">
        <v>196</v>
      </c>
      <c r="T426">
        <v>2022</v>
      </c>
      <c r="U426" s="1">
        <v>45901.600802198707</v>
      </c>
      <c r="V426" t="s">
        <v>32</v>
      </c>
      <c r="W426" t="s">
        <v>152</v>
      </c>
      <c r="X426">
        <v>0.88004404488464394</v>
      </c>
      <c r="Y426">
        <v>0.88004404488464394</v>
      </c>
      <c r="Z426">
        <v>-1.3630676306784151</v>
      </c>
      <c r="AA426">
        <v>2.129963898916968</v>
      </c>
      <c r="AB426">
        <v>0.41021904803893189</v>
      </c>
    </row>
    <row r="427" spans="1:28" x14ac:dyDescent="0.25">
      <c r="A427">
        <v>9</v>
      </c>
      <c r="B427">
        <v>33</v>
      </c>
      <c r="C427">
        <v>10</v>
      </c>
      <c r="D427">
        <v>7008</v>
      </c>
      <c r="E427">
        <v>64</v>
      </c>
      <c r="F427">
        <v>10</v>
      </c>
      <c r="G427">
        <v>10.86910554859787</v>
      </c>
      <c r="H427" t="s">
        <v>292</v>
      </c>
      <c r="I427" t="s">
        <v>35</v>
      </c>
      <c r="J427">
        <v>1</v>
      </c>
      <c r="K427">
        <v>77</v>
      </c>
      <c r="L427" t="s">
        <v>195</v>
      </c>
      <c r="M427">
        <v>2847</v>
      </c>
      <c r="N427">
        <v>9.8595662182196957</v>
      </c>
      <c r="O427">
        <v>10.86910554859787</v>
      </c>
      <c r="P427">
        <v>9.522749237716198</v>
      </c>
      <c r="Q427">
        <v>25.33413933031261</v>
      </c>
      <c r="R427">
        <v>10</v>
      </c>
      <c r="S427" t="s">
        <v>196</v>
      </c>
      <c r="T427">
        <v>2022</v>
      </c>
      <c r="U427" s="1">
        <v>45901.600802198707</v>
      </c>
      <c r="V427" t="s">
        <v>32</v>
      </c>
      <c r="W427" t="s">
        <v>152</v>
      </c>
      <c r="X427">
        <v>0.92003890801207755</v>
      </c>
      <c r="Y427">
        <v>0.92003890801207755</v>
      </c>
      <c r="Z427">
        <v>-0.86910554859787226</v>
      </c>
      <c r="AA427">
        <v>2.434141201264489</v>
      </c>
      <c r="AB427">
        <v>0.34359659268486431</v>
      </c>
    </row>
    <row r="428" spans="1:28" x14ac:dyDescent="0.25">
      <c r="A428">
        <v>8</v>
      </c>
      <c r="B428">
        <v>36</v>
      </c>
      <c r="C428">
        <v>24</v>
      </c>
      <c r="D428">
        <v>11736</v>
      </c>
      <c r="E428">
        <v>27</v>
      </c>
      <c r="F428">
        <v>17</v>
      </c>
      <c r="G428">
        <v>17.36759622395039</v>
      </c>
      <c r="H428" t="s">
        <v>305</v>
      </c>
      <c r="I428" t="s">
        <v>29</v>
      </c>
      <c r="J428">
        <v>0</v>
      </c>
      <c r="K428">
        <v>85</v>
      </c>
      <c r="L428" t="s">
        <v>262</v>
      </c>
      <c r="M428">
        <v>2678</v>
      </c>
      <c r="N428">
        <v>6.5095339855179191</v>
      </c>
      <c r="O428">
        <v>23.313817247748371</v>
      </c>
      <c r="P428">
        <v>3.9925900101661682</v>
      </c>
      <c r="Q428">
        <v>23.6771375015378</v>
      </c>
      <c r="R428">
        <v>2</v>
      </c>
      <c r="S428" t="s">
        <v>196</v>
      </c>
      <c r="T428">
        <v>2023</v>
      </c>
      <c r="U428" s="1">
        <v>45901.600802198707</v>
      </c>
      <c r="V428" t="s">
        <v>32</v>
      </c>
      <c r="W428" t="s">
        <v>162</v>
      </c>
      <c r="X428">
        <v>1.029432449648197</v>
      </c>
      <c r="Y428">
        <v>0.97883436376512134</v>
      </c>
      <c r="Z428">
        <v>0.68618275225162861</v>
      </c>
      <c r="AA428">
        <v>2.8566094100074682</v>
      </c>
      <c r="AB428">
        <v>0.78351140862485191</v>
      </c>
    </row>
    <row r="429" spans="1:28" x14ac:dyDescent="0.25">
      <c r="A429">
        <v>6</v>
      </c>
      <c r="B429">
        <v>34</v>
      </c>
      <c r="C429">
        <v>23</v>
      </c>
      <c r="D429">
        <v>6531</v>
      </c>
      <c r="E429">
        <v>33</v>
      </c>
      <c r="F429">
        <v>23</v>
      </c>
      <c r="G429">
        <v>15.42916595377028</v>
      </c>
      <c r="H429" t="s">
        <v>302</v>
      </c>
      <c r="I429" t="s">
        <v>29</v>
      </c>
      <c r="J429">
        <v>0</v>
      </c>
      <c r="K429">
        <v>78</v>
      </c>
      <c r="L429" t="s">
        <v>221</v>
      </c>
      <c r="M429">
        <v>2487</v>
      </c>
      <c r="N429">
        <v>4.0575158465653658</v>
      </c>
      <c r="O429">
        <v>15.42916595377028</v>
      </c>
      <c r="P429">
        <v>3.4321656189858918</v>
      </c>
      <c r="Q429">
        <v>20.514578377827998</v>
      </c>
      <c r="R429">
        <v>3</v>
      </c>
      <c r="S429" t="s">
        <v>196</v>
      </c>
      <c r="T429">
        <v>2023</v>
      </c>
      <c r="U429" s="1">
        <v>45901.600802198707</v>
      </c>
      <c r="V429" t="s">
        <v>32</v>
      </c>
      <c r="W429" t="s">
        <v>162</v>
      </c>
      <c r="X429">
        <v>1.4906832986898879</v>
      </c>
      <c r="Y429">
        <v>1.4906832986898879</v>
      </c>
      <c r="Z429">
        <v>7.5708340462297201</v>
      </c>
      <c r="AA429">
        <v>2.8226779252110981</v>
      </c>
      <c r="AB429">
        <v>0.5583534120785385</v>
      </c>
    </row>
    <row r="430" spans="1:28" x14ac:dyDescent="0.25">
      <c r="A430">
        <v>8</v>
      </c>
      <c r="B430">
        <v>35</v>
      </c>
      <c r="C430">
        <v>19</v>
      </c>
      <c r="D430">
        <v>227</v>
      </c>
      <c r="E430">
        <v>27</v>
      </c>
      <c r="F430">
        <v>15</v>
      </c>
      <c r="G430">
        <v>14.941590474918479</v>
      </c>
      <c r="H430" t="s">
        <v>299</v>
      </c>
      <c r="I430" t="s">
        <v>29</v>
      </c>
      <c r="J430">
        <v>0</v>
      </c>
      <c r="K430">
        <v>92</v>
      </c>
      <c r="L430" t="s">
        <v>198</v>
      </c>
      <c r="M430">
        <v>2777</v>
      </c>
      <c r="N430">
        <v>5.0999250374734402</v>
      </c>
      <c r="O430">
        <v>17.91470091976225</v>
      </c>
      <c r="P430">
        <v>9.2273300345987082</v>
      </c>
      <c r="Q430">
        <v>25.661629386246201</v>
      </c>
      <c r="R430">
        <v>5</v>
      </c>
      <c r="S430" t="s">
        <v>196</v>
      </c>
      <c r="T430">
        <v>2023</v>
      </c>
      <c r="U430" s="1">
        <v>45901.600802198707</v>
      </c>
      <c r="V430" t="s">
        <v>32</v>
      </c>
      <c r="W430" t="s">
        <v>162</v>
      </c>
      <c r="X430">
        <v>1.060581479149368</v>
      </c>
      <c r="Y430">
        <v>1.0039091906032069</v>
      </c>
      <c r="Z430">
        <v>1.085299080237746</v>
      </c>
      <c r="AA430">
        <v>2.9816348577601728</v>
      </c>
      <c r="AB430">
        <v>0.58059887748599315</v>
      </c>
    </row>
    <row r="431" spans="1:28" x14ac:dyDescent="0.25">
      <c r="A431">
        <v>6</v>
      </c>
      <c r="B431">
        <v>28</v>
      </c>
      <c r="C431">
        <v>19</v>
      </c>
      <c r="D431">
        <v>8824</v>
      </c>
      <c r="E431">
        <v>48</v>
      </c>
      <c r="F431">
        <v>18</v>
      </c>
      <c r="G431">
        <v>12.23123863711953</v>
      </c>
      <c r="H431" t="s">
        <v>306</v>
      </c>
      <c r="I431" t="s">
        <v>35</v>
      </c>
      <c r="J431">
        <v>0</v>
      </c>
      <c r="K431">
        <v>63</v>
      </c>
      <c r="L431" t="s">
        <v>195</v>
      </c>
      <c r="M431">
        <v>2351</v>
      </c>
      <c r="N431">
        <v>5.8944926932454109</v>
      </c>
      <c r="O431">
        <v>12.974516276270149</v>
      </c>
      <c r="P431">
        <v>15.474829688668249</v>
      </c>
      <c r="Q431">
        <v>27.422402337193489</v>
      </c>
      <c r="R431">
        <v>5</v>
      </c>
      <c r="S431" t="s">
        <v>196</v>
      </c>
      <c r="T431">
        <v>2023</v>
      </c>
      <c r="U431" s="1">
        <v>45901.600802198707</v>
      </c>
      <c r="V431" t="s">
        <v>32</v>
      </c>
      <c r="W431" t="s">
        <v>162</v>
      </c>
      <c r="X431">
        <v>1.4644091228857761</v>
      </c>
      <c r="Y431">
        <v>1.4716416328738251</v>
      </c>
      <c r="Z431">
        <v>6.0254837237298489</v>
      </c>
      <c r="AA431">
        <v>2.411739685240323</v>
      </c>
      <c r="AB431">
        <v>0.49668501270281312</v>
      </c>
    </row>
    <row r="432" spans="1:28" x14ac:dyDescent="0.25">
      <c r="A432">
        <v>2</v>
      </c>
      <c r="B432">
        <v>33</v>
      </c>
      <c r="C432">
        <v>17</v>
      </c>
      <c r="D432">
        <v>1235</v>
      </c>
      <c r="E432">
        <v>12</v>
      </c>
      <c r="F432">
        <v>14</v>
      </c>
      <c r="G432">
        <v>12.23505643196404</v>
      </c>
      <c r="H432" t="s">
        <v>284</v>
      </c>
      <c r="I432" t="s">
        <v>29</v>
      </c>
      <c r="J432">
        <v>0</v>
      </c>
      <c r="K432">
        <v>77</v>
      </c>
      <c r="L432" t="s">
        <v>261</v>
      </c>
      <c r="M432">
        <v>2476</v>
      </c>
      <c r="N432">
        <v>2.3221052950248122</v>
      </c>
      <c r="O432">
        <v>15.20816690567881</v>
      </c>
      <c r="P432">
        <v>1.5779203269630671</v>
      </c>
      <c r="Q432">
        <v>12.838875048793851</v>
      </c>
      <c r="R432">
        <v>4</v>
      </c>
      <c r="S432" t="s">
        <v>196</v>
      </c>
      <c r="T432">
        <v>2023</v>
      </c>
      <c r="U432" s="1">
        <v>45901.600802198707</v>
      </c>
      <c r="V432" t="s">
        <v>32</v>
      </c>
      <c r="W432" t="s">
        <v>162</v>
      </c>
      <c r="X432">
        <v>1.1178204516977071</v>
      </c>
      <c r="Y432">
        <v>1.1442529977569249</v>
      </c>
      <c r="Z432">
        <v>1.7918330943211911</v>
      </c>
      <c r="AA432">
        <v>2.7988691437802911</v>
      </c>
      <c r="AB432">
        <v>0.55280089721772729</v>
      </c>
    </row>
    <row r="433" spans="1:28" x14ac:dyDescent="0.25">
      <c r="A433">
        <v>6</v>
      </c>
      <c r="B433">
        <v>33</v>
      </c>
      <c r="C433">
        <v>16</v>
      </c>
      <c r="D433">
        <v>2270</v>
      </c>
      <c r="E433">
        <v>43</v>
      </c>
      <c r="F433">
        <v>12</v>
      </c>
      <c r="G433">
        <v>10.260133827105159</v>
      </c>
      <c r="H433" t="s">
        <v>200</v>
      </c>
      <c r="I433" t="s">
        <v>35</v>
      </c>
      <c r="J433">
        <v>0</v>
      </c>
      <c r="K433">
        <v>79</v>
      </c>
      <c r="L433" t="s">
        <v>201</v>
      </c>
      <c r="M433">
        <v>2685</v>
      </c>
      <c r="N433">
        <v>5.6767926644533873</v>
      </c>
      <c r="O433">
        <v>13.23324430920184</v>
      </c>
      <c r="P433">
        <v>11.90619212761521</v>
      </c>
      <c r="Q433">
        <v>25.458434006199241</v>
      </c>
      <c r="R433">
        <v>5</v>
      </c>
      <c r="S433" t="s">
        <v>196</v>
      </c>
      <c r="T433">
        <v>2023</v>
      </c>
      <c r="U433" s="1">
        <v>45901.600802198707</v>
      </c>
      <c r="V433" t="s">
        <v>32</v>
      </c>
      <c r="W433" t="s">
        <v>162</v>
      </c>
      <c r="X433">
        <v>1.209076143850399</v>
      </c>
      <c r="Y433">
        <v>1.1695753878276389</v>
      </c>
      <c r="Z433">
        <v>2.766755690798163</v>
      </c>
      <c r="AA433">
        <v>2.6480446927374302</v>
      </c>
      <c r="AB433">
        <v>0.44357243494531301</v>
      </c>
    </row>
    <row r="434" spans="1:28" x14ac:dyDescent="0.25">
      <c r="A434">
        <v>2</v>
      </c>
      <c r="B434">
        <v>33</v>
      </c>
      <c r="C434">
        <v>16</v>
      </c>
      <c r="D434">
        <v>5169</v>
      </c>
      <c r="E434">
        <v>9</v>
      </c>
      <c r="F434">
        <v>15</v>
      </c>
      <c r="G434">
        <v>12.644882904365661</v>
      </c>
      <c r="H434" t="s">
        <v>289</v>
      </c>
      <c r="I434" t="s">
        <v>29</v>
      </c>
      <c r="J434">
        <v>0</v>
      </c>
      <c r="K434">
        <v>73</v>
      </c>
      <c r="L434" t="s">
        <v>203</v>
      </c>
      <c r="M434">
        <v>2580</v>
      </c>
      <c r="N434">
        <v>1.3884780388325451</v>
      </c>
      <c r="O434">
        <v>13.388160573318601</v>
      </c>
      <c r="P434">
        <v>2.695498451590538</v>
      </c>
      <c r="Q434">
        <v>14.37943501211703</v>
      </c>
      <c r="R434">
        <v>4</v>
      </c>
      <c r="S434" t="s">
        <v>196</v>
      </c>
      <c r="T434">
        <v>2023</v>
      </c>
      <c r="U434" s="1">
        <v>45901.600802198707</v>
      </c>
      <c r="V434" t="s">
        <v>32</v>
      </c>
      <c r="W434" t="s">
        <v>162</v>
      </c>
      <c r="X434">
        <v>1.1950857559840271</v>
      </c>
      <c r="Y434">
        <v>1.186250605359203</v>
      </c>
      <c r="Z434">
        <v>2.6118394266813989</v>
      </c>
      <c r="AA434">
        <v>2.5465116279069768</v>
      </c>
      <c r="AB434">
        <v>0.46702885720878839</v>
      </c>
    </row>
    <row r="435" spans="1:28" x14ac:dyDescent="0.25">
      <c r="A435">
        <v>3</v>
      </c>
      <c r="B435">
        <v>32</v>
      </c>
      <c r="C435">
        <v>15</v>
      </c>
      <c r="D435">
        <v>1804</v>
      </c>
      <c r="E435">
        <v>15</v>
      </c>
      <c r="F435">
        <v>15</v>
      </c>
      <c r="G435">
        <v>16.93785461969674</v>
      </c>
      <c r="H435" t="s">
        <v>104</v>
      </c>
      <c r="I435" t="s">
        <v>29</v>
      </c>
      <c r="J435">
        <v>1</v>
      </c>
      <c r="K435">
        <v>67</v>
      </c>
      <c r="L435" t="s">
        <v>201</v>
      </c>
      <c r="M435">
        <v>1924</v>
      </c>
      <c r="N435">
        <v>2.8247487526386981</v>
      </c>
      <c r="O435">
        <v>17.681132288649678</v>
      </c>
      <c r="P435">
        <v>3.3605582043528561</v>
      </c>
      <c r="Q435">
        <v>20.133963122963909</v>
      </c>
      <c r="R435">
        <v>2</v>
      </c>
      <c r="S435" t="s">
        <v>196</v>
      </c>
      <c r="T435">
        <v>2023</v>
      </c>
      <c r="U435" s="1">
        <v>45901.600802198707</v>
      </c>
      <c r="V435" t="s">
        <v>32</v>
      </c>
      <c r="W435" t="s">
        <v>162</v>
      </c>
      <c r="X435">
        <v>0.84836195754438082</v>
      </c>
      <c r="Y435">
        <v>0.88559031452287718</v>
      </c>
      <c r="Z435">
        <v>-2.6811322886496778</v>
      </c>
      <c r="AA435">
        <v>3.1340956340956341</v>
      </c>
      <c r="AB435">
        <v>0.82707999271230292</v>
      </c>
    </row>
    <row r="436" spans="1:28" x14ac:dyDescent="0.25">
      <c r="A436">
        <v>1</v>
      </c>
      <c r="B436">
        <v>27</v>
      </c>
      <c r="C436">
        <v>15</v>
      </c>
      <c r="D436">
        <v>2252</v>
      </c>
      <c r="E436">
        <v>20</v>
      </c>
      <c r="F436">
        <v>11</v>
      </c>
      <c r="G436">
        <v>8.8083352372050285</v>
      </c>
      <c r="H436" t="s">
        <v>307</v>
      </c>
      <c r="I436" t="s">
        <v>35</v>
      </c>
      <c r="J436">
        <v>0</v>
      </c>
      <c r="K436">
        <v>47</v>
      </c>
      <c r="L436" t="s">
        <v>266</v>
      </c>
      <c r="M436">
        <v>2193</v>
      </c>
      <c r="N436">
        <v>1.931499797850847</v>
      </c>
      <c r="O436">
        <v>11.781445782631639</v>
      </c>
      <c r="P436">
        <v>2.4337577307596798</v>
      </c>
      <c r="Q436">
        <v>12.544378835707899</v>
      </c>
      <c r="R436">
        <v>2</v>
      </c>
      <c r="S436" t="s">
        <v>196</v>
      </c>
      <c r="T436">
        <v>2023</v>
      </c>
      <c r="U436" s="1">
        <v>45901.600802198707</v>
      </c>
      <c r="V436" t="s">
        <v>32</v>
      </c>
      <c r="W436" t="s">
        <v>162</v>
      </c>
      <c r="X436">
        <v>1.2731883910303441</v>
      </c>
      <c r="Y436">
        <v>1.248817137833006</v>
      </c>
      <c r="Z436">
        <v>3.2185542173683639</v>
      </c>
      <c r="AA436">
        <v>1.9288645690834469</v>
      </c>
      <c r="AB436">
        <v>0.48350666686586741</v>
      </c>
    </row>
    <row r="437" spans="1:28" x14ac:dyDescent="0.25">
      <c r="A437">
        <v>5</v>
      </c>
      <c r="B437">
        <v>26</v>
      </c>
      <c r="C437">
        <v>15</v>
      </c>
      <c r="D437">
        <v>7008</v>
      </c>
      <c r="E437">
        <v>31</v>
      </c>
      <c r="F437">
        <v>14</v>
      </c>
      <c r="G437">
        <v>15.255804002285</v>
      </c>
      <c r="H437" t="s">
        <v>292</v>
      </c>
      <c r="I437" t="s">
        <v>35</v>
      </c>
      <c r="J437">
        <v>0</v>
      </c>
      <c r="K437">
        <v>78</v>
      </c>
      <c r="L437" t="s">
        <v>195</v>
      </c>
      <c r="M437">
        <v>1902</v>
      </c>
      <c r="N437">
        <v>4.4335790481418371</v>
      </c>
      <c r="O437">
        <v>15.99908155202866</v>
      </c>
      <c r="P437">
        <v>4.8350817449390888</v>
      </c>
      <c r="Q437">
        <v>20.51753152906895</v>
      </c>
      <c r="R437">
        <v>7</v>
      </c>
      <c r="S437" t="s">
        <v>196</v>
      </c>
      <c r="T437">
        <v>2023</v>
      </c>
      <c r="U437" s="1">
        <v>45901.600802198707</v>
      </c>
      <c r="V437" t="s">
        <v>32</v>
      </c>
      <c r="W437" t="s">
        <v>162</v>
      </c>
      <c r="X437">
        <v>0.9375538184001585</v>
      </c>
      <c r="Y437">
        <v>0.91768352542436238</v>
      </c>
      <c r="Z437">
        <v>-0.99908155202865601</v>
      </c>
      <c r="AA437">
        <v>3.690851735015773</v>
      </c>
      <c r="AB437">
        <v>0.75705433211492068</v>
      </c>
    </row>
    <row r="438" spans="1:28" x14ac:dyDescent="0.25">
      <c r="A438">
        <v>5</v>
      </c>
      <c r="B438">
        <v>32</v>
      </c>
      <c r="C438">
        <v>14</v>
      </c>
      <c r="D438">
        <v>7020</v>
      </c>
      <c r="E438">
        <v>27</v>
      </c>
      <c r="F438">
        <v>14</v>
      </c>
      <c r="G438">
        <v>12.3213453348726</v>
      </c>
      <c r="H438" t="s">
        <v>308</v>
      </c>
      <c r="I438" t="s">
        <v>29</v>
      </c>
      <c r="J438">
        <v>0</v>
      </c>
      <c r="K438">
        <v>65</v>
      </c>
      <c r="L438" t="s">
        <v>205</v>
      </c>
      <c r="M438">
        <v>2321</v>
      </c>
      <c r="N438">
        <v>3.076646957546473</v>
      </c>
      <c r="O438">
        <v>13.064622944220901</v>
      </c>
      <c r="P438">
        <v>2.683862771838903</v>
      </c>
      <c r="Q438">
        <v>15.980735013261439</v>
      </c>
      <c r="R438">
        <v>2</v>
      </c>
      <c r="S438" t="s">
        <v>196</v>
      </c>
      <c r="T438">
        <v>2023</v>
      </c>
      <c r="U438" s="1">
        <v>45901.600802198707</v>
      </c>
      <c r="V438" t="s">
        <v>32</v>
      </c>
      <c r="W438" t="s">
        <v>162</v>
      </c>
      <c r="X438">
        <v>1.071596176925478</v>
      </c>
      <c r="Y438">
        <v>1.136239559845496</v>
      </c>
      <c r="Z438">
        <v>0.93537705577909946</v>
      </c>
      <c r="AA438">
        <v>2.5204653166738482</v>
      </c>
      <c r="AB438">
        <v>0.50659890778969452</v>
      </c>
    </row>
    <row r="439" spans="1:28" x14ac:dyDescent="0.25">
      <c r="A439">
        <v>2</v>
      </c>
      <c r="B439">
        <v>37</v>
      </c>
      <c r="C439">
        <v>13</v>
      </c>
      <c r="D439">
        <v>6637</v>
      </c>
      <c r="E439">
        <v>15</v>
      </c>
      <c r="F439">
        <v>13</v>
      </c>
      <c r="G439">
        <v>11.410676322877411</v>
      </c>
      <c r="H439" t="s">
        <v>309</v>
      </c>
      <c r="I439" t="s">
        <v>35</v>
      </c>
      <c r="J439">
        <v>0</v>
      </c>
      <c r="K439">
        <v>65</v>
      </c>
      <c r="L439" t="s">
        <v>225</v>
      </c>
      <c r="M439">
        <v>3050</v>
      </c>
      <c r="N439">
        <v>1.5678155571222301</v>
      </c>
      <c r="O439">
        <v>11.410676322877411</v>
      </c>
      <c r="P439">
        <v>2.716021410189569</v>
      </c>
      <c r="Q439">
        <v>14.390071650967</v>
      </c>
      <c r="R439">
        <v>4</v>
      </c>
      <c r="S439" t="s">
        <v>196</v>
      </c>
      <c r="T439">
        <v>2023</v>
      </c>
      <c r="U439" s="1">
        <v>45901.600802198707</v>
      </c>
      <c r="V439" t="s">
        <v>32</v>
      </c>
      <c r="W439" t="s">
        <v>162</v>
      </c>
      <c r="X439">
        <v>1.139283915532346</v>
      </c>
      <c r="Y439">
        <v>1.139283915532346</v>
      </c>
      <c r="Z439">
        <v>1.5893236771225909</v>
      </c>
      <c r="AA439">
        <v>1.918032786885246</v>
      </c>
      <c r="AB439">
        <v>0.33670848165867762</v>
      </c>
    </row>
    <row r="440" spans="1:28" x14ac:dyDescent="0.25">
      <c r="A440">
        <v>3</v>
      </c>
      <c r="B440">
        <v>37</v>
      </c>
      <c r="C440">
        <v>13</v>
      </c>
      <c r="D440">
        <v>11070</v>
      </c>
      <c r="E440">
        <v>24</v>
      </c>
      <c r="F440">
        <v>13</v>
      </c>
      <c r="G440">
        <v>16.671772304922339</v>
      </c>
      <c r="H440" t="s">
        <v>183</v>
      </c>
      <c r="I440" t="s">
        <v>35</v>
      </c>
      <c r="J440">
        <v>0</v>
      </c>
      <c r="K440">
        <v>81</v>
      </c>
      <c r="L440" t="s">
        <v>215</v>
      </c>
      <c r="M440">
        <v>2951</v>
      </c>
      <c r="N440">
        <v>2.7474186159670362</v>
      </c>
      <c r="O440">
        <v>16.671772304922339</v>
      </c>
      <c r="P440">
        <v>4.5524908974766731</v>
      </c>
      <c r="Q440">
        <v>20.405790625140071</v>
      </c>
      <c r="R440">
        <v>3</v>
      </c>
      <c r="S440" t="s">
        <v>196</v>
      </c>
      <c r="T440">
        <v>2023</v>
      </c>
      <c r="U440" s="1">
        <v>45901.600802198707</v>
      </c>
      <c r="V440" t="s">
        <v>32</v>
      </c>
      <c r="W440" t="s">
        <v>162</v>
      </c>
      <c r="X440">
        <v>0.77976112930487596</v>
      </c>
      <c r="Y440">
        <v>0.77976112930487596</v>
      </c>
      <c r="Z440">
        <v>-3.6717723049223419</v>
      </c>
      <c r="AA440">
        <v>2.470349034225686</v>
      </c>
      <c r="AB440">
        <v>0.50845798286784505</v>
      </c>
    </row>
    <row r="441" spans="1:28" x14ac:dyDescent="0.25">
      <c r="A441">
        <v>3</v>
      </c>
      <c r="B441">
        <v>34</v>
      </c>
      <c r="C441">
        <v>12</v>
      </c>
      <c r="D441">
        <v>2399</v>
      </c>
      <c r="E441">
        <v>44</v>
      </c>
      <c r="F441">
        <v>12</v>
      </c>
      <c r="G441">
        <v>11.432036427780989</v>
      </c>
      <c r="H441" t="s">
        <v>277</v>
      </c>
      <c r="I441" t="s">
        <v>35</v>
      </c>
      <c r="J441">
        <v>0</v>
      </c>
      <c r="K441">
        <v>93</v>
      </c>
      <c r="L441" t="s">
        <v>205</v>
      </c>
      <c r="M441">
        <v>2880</v>
      </c>
      <c r="N441">
        <v>6.1919286930933604</v>
      </c>
      <c r="O441">
        <v>11.432036427780989</v>
      </c>
      <c r="P441">
        <v>5.1475759129971266</v>
      </c>
      <c r="Q441">
        <v>21.49238005280495</v>
      </c>
      <c r="R441">
        <v>4</v>
      </c>
      <c r="S441" t="s">
        <v>196</v>
      </c>
      <c r="T441">
        <v>2023</v>
      </c>
      <c r="U441" s="1">
        <v>45901.600802198707</v>
      </c>
      <c r="V441" t="s">
        <v>32</v>
      </c>
      <c r="W441" t="s">
        <v>162</v>
      </c>
      <c r="X441">
        <v>1.0496817496871169</v>
      </c>
      <c r="Y441">
        <v>1.0496817496871169</v>
      </c>
      <c r="Z441">
        <v>0.56796357221901417</v>
      </c>
      <c r="AA441">
        <v>2.90625</v>
      </c>
      <c r="AB441">
        <v>0.35725113836815581</v>
      </c>
    </row>
    <row r="442" spans="1:28" x14ac:dyDescent="0.25">
      <c r="A442">
        <v>1</v>
      </c>
      <c r="B442">
        <v>34</v>
      </c>
      <c r="C442">
        <v>11</v>
      </c>
      <c r="D442">
        <v>10400</v>
      </c>
      <c r="E442">
        <v>18</v>
      </c>
      <c r="F442">
        <v>7</v>
      </c>
      <c r="G442">
        <v>8.9029855728149414</v>
      </c>
      <c r="H442" t="s">
        <v>310</v>
      </c>
      <c r="I442" t="s">
        <v>35</v>
      </c>
      <c r="J442">
        <v>0</v>
      </c>
      <c r="K442">
        <v>64</v>
      </c>
      <c r="L442" t="s">
        <v>234</v>
      </c>
      <c r="M442">
        <v>2490</v>
      </c>
      <c r="N442">
        <v>3.1601249799132352</v>
      </c>
      <c r="O442">
        <v>12.61937355622649</v>
      </c>
      <c r="P442">
        <v>1.75699582695961</v>
      </c>
      <c r="Q442">
        <v>10.584390286356211</v>
      </c>
      <c r="R442">
        <v>3</v>
      </c>
      <c r="S442" t="s">
        <v>196</v>
      </c>
      <c r="T442">
        <v>2023</v>
      </c>
      <c r="U442" s="1">
        <v>45901.600802198707</v>
      </c>
      <c r="V442" t="s">
        <v>32</v>
      </c>
      <c r="W442" t="s">
        <v>162</v>
      </c>
      <c r="X442">
        <v>0.87167559871246691</v>
      </c>
      <c r="Y442">
        <v>0.78625309933943244</v>
      </c>
      <c r="Z442">
        <v>-1.6193735562264919</v>
      </c>
      <c r="AA442">
        <v>2.3132530120481931</v>
      </c>
      <c r="AB442">
        <v>0.4561219357672226</v>
      </c>
    </row>
    <row r="443" spans="1:28" x14ac:dyDescent="0.25">
      <c r="A443">
        <v>2</v>
      </c>
      <c r="B443">
        <v>34</v>
      </c>
      <c r="C443">
        <v>10</v>
      </c>
      <c r="D443">
        <v>866</v>
      </c>
      <c r="E443">
        <v>12</v>
      </c>
      <c r="F443">
        <v>10</v>
      </c>
      <c r="G443">
        <v>12.07696435041726</v>
      </c>
      <c r="H443" t="s">
        <v>286</v>
      </c>
      <c r="I443" t="s">
        <v>29</v>
      </c>
      <c r="J443">
        <v>0</v>
      </c>
      <c r="K443">
        <v>63</v>
      </c>
      <c r="L443" t="s">
        <v>195</v>
      </c>
      <c r="M443">
        <v>1631</v>
      </c>
      <c r="N443">
        <v>2.3252388201653962</v>
      </c>
      <c r="O443">
        <v>13.563519598916169</v>
      </c>
      <c r="P443">
        <v>5.6456421390175819</v>
      </c>
      <c r="Q443">
        <v>17.439819484949108</v>
      </c>
      <c r="R443">
        <v>0</v>
      </c>
      <c r="S443" t="s">
        <v>196</v>
      </c>
      <c r="T443">
        <v>2023</v>
      </c>
      <c r="U443" s="1">
        <v>45901.600802198707</v>
      </c>
      <c r="V443" t="s">
        <v>32</v>
      </c>
      <c r="W443" t="s">
        <v>162</v>
      </c>
      <c r="X443">
        <v>0.73727176247078796</v>
      </c>
      <c r="Y443">
        <v>0.82802264789781399</v>
      </c>
      <c r="Z443">
        <v>-3.5635195989161712</v>
      </c>
      <c r="AA443">
        <v>3.4763948497854078</v>
      </c>
      <c r="AB443">
        <v>0.74844682029580345</v>
      </c>
    </row>
    <row r="444" spans="1:28" x14ac:dyDescent="0.25">
      <c r="A444">
        <v>6</v>
      </c>
      <c r="B444">
        <v>30</v>
      </c>
      <c r="C444">
        <v>10</v>
      </c>
      <c r="D444">
        <v>2120</v>
      </c>
      <c r="E444">
        <v>53</v>
      </c>
      <c r="F444">
        <v>8</v>
      </c>
      <c r="G444">
        <v>7.7676905747503042</v>
      </c>
      <c r="H444" t="s">
        <v>249</v>
      </c>
      <c r="I444" t="s">
        <v>35</v>
      </c>
      <c r="J444">
        <v>0</v>
      </c>
      <c r="K444">
        <v>63</v>
      </c>
      <c r="L444" t="s">
        <v>221</v>
      </c>
      <c r="M444">
        <v>2296</v>
      </c>
      <c r="N444">
        <v>5.8686857484281063</v>
      </c>
      <c r="O444">
        <v>9.9975234437733889</v>
      </c>
      <c r="P444">
        <v>7.8959372732788324</v>
      </c>
      <c r="Q444">
        <v>16.735687041655179</v>
      </c>
      <c r="R444">
        <v>0</v>
      </c>
      <c r="S444" t="s">
        <v>196</v>
      </c>
      <c r="T444">
        <v>2023</v>
      </c>
      <c r="U444" s="1">
        <v>45901.600802198707</v>
      </c>
      <c r="V444" t="s">
        <v>32</v>
      </c>
      <c r="W444" t="s">
        <v>162</v>
      </c>
      <c r="X444">
        <v>1.0002477169711621</v>
      </c>
      <c r="Y444">
        <v>1.0299071420281389</v>
      </c>
      <c r="Z444">
        <v>2.476556226611137E-3</v>
      </c>
      <c r="AA444">
        <v>2.469512195121951</v>
      </c>
      <c r="AB444">
        <v>0.39188898516533321</v>
      </c>
    </row>
    <row r="445" spans="1:28" x14ac:dyDescent="0.25">
      <c r="A445">
        <v>5</v>
      </c>
      <c r="B445">
        <v>33</v>
      </c>
      <c r="C445">
        <v>10</v>
      </c>
      <c r="D445">
        <v>2361</v>
      </c>
      <c r="E445">
        <v>27</v>
      </c>
      <c r="F445">
        <v>10</v>
      </c>
      <c r="G445">
        <v>6.6044145189225674</v>
      </c>
      <c r="H445" t="s">
        <v>250</v>
      </c>
      <c r="I445" t="s">
        <v>29</v>
      </c>
      <c r="J445">
        <v>1</v>
      </c>
      <c r="K445">
        <v>48</v>
      </c>
      <c r="L445" t="s">
        <v>228</v>
      </c>
      <c r="M445">
        <v>2004</v>
      </c>
      <c r="N445">
        <v>3.088982405140996</v>
      </c>
      <c r="O445">
        <v>6.6044145189225674</v>
      </c>
      <c r="P445">
        <v>2.7242426984012131</v>
      </c>
      <c r="Q445">
        <v>11.77993483096361</v>
      </c>
      <c r="R445">
        <v>0</v>
      </c>
      <c r="S445" t="s">
        <v>196</v>
      </c>
      <c r="T445">
        <v>2023</v>
      </c>
      <c r="U445" s="1">
        <v>45901.600802198707</v>
      </c>
      <c r="V445" t="s">
        <v>32</v>
      </c>
      <c r="W445" t="s">
        <v>162</v>
      </c>
      <c r="X445">
        <v>1.5141387584544559</v>
      </c>
      <c r="Y445">
        <v>1.5141387584544559</v>
      </c>
      <c r="Z445">
        <v>3.3955854810774331</v>
      </c>
      <c r="AA445">
        <v>2.1556886227544911</v>
      </c>
      <c r="AB445">
        <v>0.29660544246658238</v>
      </c>
    </row>
    <row r="446" spans="1:28" x14ac:dyDescent="0.25">
      <c r="A446">
        <v>5</v>
      </c>
      <c r="B446">
        <v>34</v>
      </c>
      <c r="C446">
        <v>10</v>
      </c>
      <c r="D446">
        <v>8015</v>
      </c>
      <c r="E446">
        <v>46</v>
      </c>
      <c r="F446">
        <v>10</v>
      </c>
      <c r="G446">
        <v>11.686717640608549</v>
      </c>
      <c r="H446" t="s">
        <v>311</v>
      </c>
      <c r="I446" t="s">
        <v>29</v>
      </c>
      <c r="J446">
        <v>0</v>
      </c>
      <c r="K446">
        <v>87</v>
      </c>
      <c r="L446" t="s">
        <v>195</v>
      </c>
      <c r="M446">
        <v>2426</v>
      </c>
      <c r="N446">
        <v>4.4249670878052711</v>
      </c>
      <c r="O446">
        <v>12.42999527975917</v>
      </c>
      <c r="P446">
        <v>10.114376921206709</v>
      </c>
      <c r="Q446">
        <v>22.537924271076921</v>
      </c>
      <c r="R446">
        <v>2</v>
      </c>
      <c r="S446" t="s">
        <v>196</v>
      </c>
      <c r="T446">
        <v>2023</v>
      </c>
      <c r="U446" s="1">
        <v>45901.600802198707</v>
      </c>
      <c r="V446" t="s">
        <v>32</v>
      </c>
      <c r="W446" t="s">
        <v>162</v>
      </c>
      <c r="X446">
        <v>0.80450553479162301</v>
      </c>
      <c r="Y446">
        <v>0.85567225182650009</v>
      </c>
      <c r="Z446">
        <v>-2.4299952797591691</v>
      </c>
      <c r="AA446">
        <v>3.2275350370981042</v>
      </c>
      <c r="AB446">
        <v>0.46112925605042249</v>
      </c>
    </row>
    <row r="447" spans="1:28" x14ac:dyDescent="0.25">
      <c r="A447">
        <v>3</v>
      </c>
      <c r="B447">
        <v>34</v>
      </c>
      <c r="C447">
        <v>31</v>
      </c>
      <c r="D447">
        <v>3423</v>
      </c>
      <c r="E447">
        <v>51</v>
      </c>
      <c r="F447">
        <v>24</v>
      </c>
      <c r="G447">
        <v>23.446136973798271</v>
      </c>
      <c r="H447" t="s">
        <v>312</v>
      </c>
      <c r="I447" t="s">
        <v>32</v>
      </c>
      <c r="J447">
        <v>1</v>
      </c>
      <c r="K447">
        <v>161</v>
      </c>
      <c r="L447" t="s">
        <v>195</v>
      </c>
      <c r="M447">
        <v>2938</v>
      </c>
      <c r="N447">
        <v>9.3941149618476647</v>
      </c>
      <c r="O447">
        <v>30.13563550263644</v>
      </c>
      <c r="P447">
        <v>11.081679956056179</v>
      </c>
      <c r="Q447">
        <v>38.313463911414154</v>
      </c>
      <c r="R447">
        <v>3</v>
      </c>
      <c r="S447" t="s">
        <v>196</v>
      </c>
      <c r="T447">
        <v>2024</v>
      </c>
      <c r="U447" s="1">
        <v>45901.600802198707</v>
      </c>
      <c r="V447" t="s">
        <v>32</v>
      </c>
      <c r="W447" t="s">
        <v>182</v>
      </c>
      <c r="X447">
        <v>1.0286824711988549</v>
      </c>
      <c r="Y447">
        <v>1.0236227838650209</v>
      </c>
      <c r="Z447">
        <v>0.86436449736356025</v>
      </c>
      <c r="AA447">
        <v>4.9319264805990466</v>
      </c>
      <c r="AB447">
        <v>0.92314744562194684</v>
      </c>
    </row>
    <row r="448" spans="1:28" x14ac:dyDescent="0.25">
      <c r="A448">
        <v>2</v>
      </c>
      <c r="B448">
        <v>34</v>
      </c>
      <c r="C448">
        <v>27</v>
      </c>
      <c r="D448">
        <v>227</v>
      </c>
      <c r="E448">
        <v>18</v>
      </c>
      <c r="F448">
        <v>24</v>
      </c>
      <c r="G448">
        <v>26.44122809171677</v>
      </c>
      <c r="H448" t="s">
        <v>299</v>
      </c>
      <c r="I448" t="s">
        <v>29</v>
      </c>
      <c r="J448">
        <v>0</v>
      </c>
      <c r="K448">
        <v>115</v>
      </c>
      <c r="L448" t="s">
        <v>198</v>
      </c>
      <c r="M448">
        <v>2716</v>
      </c>
      <c r="N448">
        <v>2.4752993676811461</v>
      </c>
      <c r="O448">
        <v>29.414338618516918</v>
      </c>
      <c r="P448">
        <v>6.6593545116484174</v>
      </c>
      <c r="Q448">
        <v>29.242779716849331</v>
      </c>
      <c r="R448">
        <v>1</v>
      </c>
      <c r="S448" t="s">
        <v>196</v>
      </c>
      <c r="T448">
        <v>2024</v>
      </c>
      <c r="U448" s="1">
        <v>45901.600802198707</v>
      </c>
      <c r="V448" t="s">
        <v>32</v>
      </c>
      <c r="W448" t="s">
        <v>182</v>
      </c>
      <c r="X448">
        <v>0.91791967006876563</v>
      </c>
      <c r="Y448">
        <v>0.90767342260923467</v>
      </c>
      <c r="Z448">
        <v>-2.414338618516918</v>
      </c>
      <c r="AA448">
        <v>3.8107511045655378</v>
      </c>
      <c r="AB448">
        <v>0.97470194243980957</v>
      </c>
    </row>
    <row r="449" spans="1:28" x14ac:dyDescent="0.25">
      <c r="A449">
        <v>4</v>
      </c>
      <c r="B449">
        <v>38</v>
      </c>
      <c r="C449">
        <v>21</v>
      </c>
      <c r="D449">
        <v>1235</v>
      </c>
      <c r="E449">
        <v>16</v>
      </c>
      <c r="F449">
        <v>13</v>
      </c>
      <c r="G449">
        <v>14.723218826577069</v>
      </c>
      <c r="H449" t="s">
        <v>284</v>
      </c>
      <c r="I449" t="s">
        <v>29</v>
      </c>
      <c r="J449">
        <v>0</v>
      </c>
      <c r="K449">
        <v>99</v>
      </c>
      <c r="L449" t="s">
        <v>261</v>
      </c>
      <c r="M449">
        <v>3008</v>
      </c>
      <c r="N449">
        <v>1.878328565508127</v>
      </c>
      <c r="O449">
        <v>20.669439753517509</v>
      </c>
      <c r="P449">
        <v>1.5347974542528391</v>
      </c>
      <c r="Q449">
        <v>14.999033909291031</v>
      </c>
      <c r="R449">
        <v>4</v>
      </c>
      <c r="S449" t="s">
        <v>196</v>
      </c>
      <c r="T449">
        <v>2024</v>
      </c>
      <c r="U449" s="1">
        <v>45901.600802198707</v>
      </c>
      <c r="V449" t="s">
        <v>32</v>
      </c>
      <c r="W449" t="s">
        <v>182</v>
      </c>
      <c r="X449">
        <v>1.015992704709195</v>
      </c>
      <c r="Y449">
        <v>0.88295909699674757</v>
      </c>
      <c r="Z449">
        <v>0.33056024648249149</v>
      </c>
      <c r="AA449">
        <v>2.9621010638297869</v>
      </c>
      <c r="AB449">
        <v>0.61843403517838291</v>
      </c>
    </row>
    <row r="450" spans="1:28" x14ac:dyDescent="0.25">
      <c r="A450">
        <v>2</v>
      </c>
      <c r="B450">
        <v>35</v>
      </c>
      <c r="C450">
        <v>20</v>
      </c>
      <c r="D450">
        <v>6531</v>
      </c>
      <c r="E450">
        <v>13</v>
      </c>
      <c r="F450">
        <v>19</v>
      </c>
      <c r="G450">
        <v>19.711555287241939</v>
      </c>
      <c r="H450" t="s">
        <v>302</v>
      </c>
      <c r="I450" t="s">
        <v>29</v>
      </c>
      <c r="J450">
        <v>0</v>
      </c>
      <c r="K450">
        <v>79</v>
      </c>
      <c r="L450" t="s">
        <v>201</v>
      </c>
      <c r="M450">
        <v>1525</v>
      </c>
      <c r="N450">
        <v>1.304560586810112</v>
      </c>
      <c r="O450">
        <v>20.45483289659024</v>
      </c>
      <c r="P450">
        <v>2.148045781999826</v>
      </c>
      <c r="Q450">
        <v>21.536708824336529</v>
      </c>
      <c r="R450">
        <v>4</v>
      </c>
      <c r="S450" t="s">
        <v>196</v>
      </c>
      <c r="T450">
        <v>2024</v>
      </c>
      <c r="U450" s="1">
        <v>45901.600802198707</v>
      </c>
      <c r="V450" t="s">
        <v>32</v>
      </c>
      <c r="W450" t="s">
        <v>182</v>
      </c>
      <c r="X450">
        <v>0.97776403753139141</v>
      </c>
      <c r="Y450">
        <v>0.96390161624118609</v>
      </c>
      <c r="Z450">
        <v>-0.45483289659024001</v>
      </c>
      <c r="AA450">
        <v>4.6622950819672138</v>
      </c>
      <c r="AB450">
        <v>1.207170466028276</v>
      </c>
    </row>
    <row r="451" spans="1:28" x14ac:dyDescent="0.25">
      <c r="A451">
        <v>2</v>
      </c>
      <c r="B451">
        <v>30</v>
      </c>
      <c r="C451">
        <v>19</v>
      </c>
      <c r="D451">
        <v>770</v>
      </c>
      <c r="E451">
        <v>32</v>
      </c>
      <c r="F451">
        <v>19</v>
      </c>
      <c r="G451">
        <v>15.228042975068091</v>
      </c>
      <c r="H451" t="s">
        <v>112</v>
      </c>
      <c r="I451" t="s">
        <v>29</v>
      </c>
      <c r="J451">
        <v>0</v>
      </c>
      <c r="K451">
        <v>75</v>
      </c>
      <c r="L451" t="s">
        <v>221</v>
      </c>
      <c r="M451">
        <v>1987</v>
      </c>
      <c r="N451">
        <v>3.127925001084805</v>
      </c>
      <c r="O451">
        <v>15.228042975068091</v>
      </c>
      <c r="P451">
        <v>3.779487994499505</v>
      </c>
      <c r="Q451">
        <v>19.885818392038349</v>
      </c>
      <c r="R451">
        <v>4</v>
      </c>
      <c r="S451" t="s">
        <v>196</v>
      </c>
      <c r="T451">
        <v>2024</v>
      </c>
      <c r="U451" s="1">
        <v>45901.600802198707</v>
      </c>
      <c r="V451" t="s">
        <v>32</v>
      </c>
      <c r="W451" t="s">
        <v>182</v>
      </c>
      <c r="X451">
        <v>1.2476980811721829</v>
      </c>
      <c r="Y451">
        <v>1.2476980811721829</v>
      </c>
      <c r="Z451">
        <v>3.7719570249319081</v>
      </c>
      <c r="AA451">
        <v>3.3970810266733769</v>
      </c>
      <c r="AB451">
        <v>0.68974527818627496</v>
      </c>
    </row>
    <row r="452" spans="1:28" x14ac:dyDescent="0.25">
      <c r="A452">
        <v>10</v>
      </c>
      <c r="B452">
        <v>36</v>
      </c>
      <c r="C452">
        <v>18</v>
      </c>
      <c r="D452">
        <v>8026</v>
      </c>
      <c r="E452">
        <v>91</v>
      </c>
      <c r="F452">
        <v>16</v>
      </c>
      <c r="G452">
        <v>17.779440259560939</v>
      </c>
      <c r="H452" t="s">
        <v>147</v>
      </c>
      <c r="I452" t="s">
        <v>35</v>
      </c>
      <c r="J452">
        <v>0</v>
      </c>
      <c r="K452">
        <v>114</v>
      </c>
      <c r="L452" t="s">
        <v>198</v>
      </c>
      <c r="M452">
        <v>2862</v>
      </c>
      <c r="N452">
        <v>13.52704404480755</v>
      </c>
      <c r="O452">
        <v>19.265995418652889</v>
      </c>
      <c r="P452">
        <v>13.65043547190726</v>
      </c>
      <c r="Q452">
        <v>39.282578520476818</v>
      </c>
      <c r="R452">
        <v>4</v>
      </c>
      <c r="S452" t="s">
        <v>196</v>
      </c>
      <c r="T452">
        <v>2024</v>
      </c>
      <c r="U452" s="1">
        <v>45901.600802198707</v>
      </c>
      <c r="V452" t="s">
        <v>32</v>
      </c>
      <c r="W452" t="s">
        <v>182</v>
      </c>
      <c r="X452">
        <v>0.93428860584970441</v>
      </c>
      <c r="Y452">
        <v>0.89991584472947372</v>
      </c>
      <c r="Z452">
        <v>-1.265995418652889</v>
      </c>
      <c r="AA452">
        <v>3.584905660377359</v>
      </c>
      <c r="AB452">
        <v>0.60584891253625439</v>
      </c>
    </row>
    <row r="453" spans="1:28" x14ac:dyDescent="0.25">
      <c r="A453">
        <v>4</v>
      </c>
      <c r="B453">
        <v>37</v>
      </c>
      <c r="C453">
        <v>17</v>
      </c>
      <c r="D453">
        <v>10846</v>
      </c>
      <c r="E453">
        <v>41</v>
      </c>
      <c r="F453">
        <v>13</v>
      </c>
      <c r="G453">
        <v>11.186186812352391</v>
      </c>
      <c r="H453" t="s">
        <v>175</v>
      </c>
      <c r="I453" t="s">
        <v>35</v>
      </c>
      <c r="J453">
        <v>0</v>
      </c>
      <c r="K453">
        <v>72</v>
      </c>
      <c r="L453" t="s">
        <v>201</v>
      </c>
      <c r="M453">
        <v>2543</v>
      </c>
      <c r="N453">
        <v>6.458727004006505</v>
      </c>
      <c r="O453">
        <v>14.1592972795479</v>
      </c>
      <c r="P453">
        <v>9.4337688852101564</v>
      </c>
      <c r="Q453">
        <v>25.16218076646328</v>
      </c>
      <c r="R453">
        <v>5</v>
      </c>
      <c r="S453" t="s">
        <v>196</v>
      </c>
      <c r="T453">
        <v>2024</v>
      </c>
      <c r="U453" s="1">
        <v>45901.600802198707</v>
      </c>
      <c r="V453" t="s">
        <v>32</v>
      </c>
      <c r="W453" t="s">
        <v>182</v>
      </c>
      <c r="X453">
        <v>1.2006245553270001</v>
      </c>
      <c r="Y453">
        <v>1.162147585953482</v>
      </c>
      <c r="Z453">
        <v>2.8407027204521</v>
      </c>
      <c r="AA453">
        <v>2.5481714510420761</v>
      </c>
      <c r="AB453">
        <v>0.50111551520224573</v>
      </c>
    </row>
    <row r="454" spans="1:28" x14ac:dyDescent="0.25">
      <c r="A454">
        <v>1</v>
      </c>
      <c r="B454">
        <v>29</v>
      </c>
      <c r="C454">
        <v>15</v>
      </c>
      <c r="D454">
        <v>7779</v>
      </c>
      <c r="E454">
        <v>21</v>
      </c>
      <c r="F454">
        <v>12</v>
      </c>
      <c r="G454">
        <v>8.2291840231046081</v>
      </c>
      <c r="H454" t="s">
        <v>313</v>
      </c>
      <c r="I454" t="s">
        <v>35</v>
      </c>
      <c r="J454">
        <v>0</v>
      </c>
      <c r="K454">
        <v>50</v>
      </c>
      <c r="L454" t="s">
        <v>205</v>
      </c>
      <c r="M454">
        <v>1645</v>
      </c>
      <c r="N454">
        <v>1.857797082513571</v>
      </c>
      <c r="O454">
        <v>10.45901683624834</v>
      </c>
      <c r="P454">
        <v>4.2306309435516596</v>
      </c>
      <c r="Q454">
        <v>12.24666517972946</v>
      </c>
      <c r="R454">
        <v>3</v>
      </c>
      <c r="S454" t="s">
        <v>196</v>
      </c>
      <c r="T454">
        <v>2024</v>
      </c>
      <c r="U454" s="1">
        <v>45901.600802198707</v>
      </c>
      <c r="V454" t="s">
        <v>32</v>
      </c>
      <c r="W454" t="s">
        <v>182</v>
      </c>
      <c r="X454">
        <v>1.434169218278122</v>
      </c>
      <c r="Y454">
        <v>1.45822477250579</v>
      </c>
      <c r="Z454">
        <v>4.5409831637516618</v>
      </c>
      <c r="AA454">
        <v>2.735562310030395</v>
      </c>
      <c r="AB454">
        <v>0.57222584514428598</v>
      </c>
    </row>
    <row r="455" spans="1:28" x14ac:dyDescent="0.25">
      <c r="A455">
        <v>0</v>
      </c>
      <c r="B455">
        <v>35</v>
      </c>
      <c r="C455">
        <v>13</v>
      </c>
      <c r="D455">
        <v>5074</v>
      </c>
      <c r="E455">
        <v>13</v>
      </c>
      <c r="F455">
        <v>10</v>
      </c>
      <c r="G455">
        <v>8.4828469697386026</v>
      </c>
      <c r="H455" t="s">
        <v>291</v>
      </c>
      <c r="I455" t="s">
        <v>29</v>
      </c>
      <c r="J455">
        <v>1</v>
      </c>
      <c r="K455">
        <v>63</v>
      </c>
      <c r="L455" t="s">
        <v>271</v>
      </c>
      <c r="M455">
        <v>2571</v>
      </c>
      <c r="N455">
        <v>0.7632435280829668</v>
      </c>
      <c r="O455">
        <v>10.712679820135239</v>
      </c>
      <c r="P455">
        <v>2.0982022918760781</v>
      </c>
      <c r="Q455">
        <v>9.7720334623008966</v>
      </c>
      <c r="R455">
        <v>3</v>
      </c>
      <c r="S455" t="s">
        <v>196</v>
      </c>
      <c r="T455">
        <v>2024</v>
      </c>
      <c r="U455" s="1">
        <v>45901.600802198707</v>
      </c>
      <c r="V455" t="s">
        <v>32</v>
      </c>
      <c r="W455" t="s">
        <v>182</v>
      </c>
      <c r="X455">
        <v>1.2135152191859211</v>
      </c>
      <c r="Y455">
        <v>1.1788495107448751</v>
      </c>
      <c r="Z455">
        <v>2.2873201798647642</v>
      </c>
      <c r="AA455">
        <v>2.2053675612602102</v>
      </c>
      <c r="AB455">
        <v>0.37500629475385888</v>
      </c>
    </row>
    <row r="456" spans="1:28" x14ac:dyDescent="0.25">
      <c r="A456">
        <v>4</v>
      </c>
      <c r="B456">
        <v>35</v>
      </c>
      <c r="C456">
        <v>12</v>
      </c>
      <c r="D456">
        <v>6933</v>
      </c>
      <c r="E456">
        <v>22</v>
      </c>
      <c r="F456">
        <v>7</v>
      </c>
      <c r="G456">
        <v>8.2294404441490769</v>
      </c>
      <c r="H456" t="s">
        <v>314</v>
      </c>
      <c r="I456" t="s">
        <v>49</v>
      </c>
      <c r="J456">
        <v>0</v>
      </c>
      <c r="K456">
        <v>71</v>
      </c>
      <c r="L456" t="s">
        <v>213</v>
      </c>
      <c r="M456">
        <v>3023</v>
      </c>
      <c r="N456">
        <v>2.9692661296576262</v>
      </c>
      <c r="O456">
        <v>11.945828468538821</v>
      </c>
      <c r="P456">
        <v>3.439238141290843</v>
      </c>
      <c r="Q456">
        <v>13.288859393447639</v>
      </c>
      <c r="R456">
        <v>8</v>
      </c>
      <c r="S456" t="s">
        <v>196</v>
      </c>
      <c r="T456">
        <v>2024</v>
      </c>
      <c r="U456" s="1">
        <v>45901.600802198707</v>
      </c>
      <c r="V456" t="s">
        <v>32</v>
      </c>
      <c r="W456" t="s">
        <v>182</v>
      </c>
      <c r="X456">
        <v>1.0045347655546739</v>
      </c>
      <c r="Y456">
        <v>0.85060461248939745</v>
      </c>
      <c r="Z456">
        <v>5.4171531461179263E-2</v>
      </c>
      <c r="AA456">
        <v>2.113794244128349</v>
      </c>
      <c r="AB456">
        <v>0.35564821772030891</v>
      </c>
    </row>
    <row r="457" spans="1:28" x14ac:dyDescent="0.25">
      <c r="A457">
        <v>2</v>
      </c>
      <c r="B457">
        <v>32</v>
      </c>
      <c r="C457">
        <v>11</v>
      </c>
      <c r="D457">
        <v>1709</v>
      </c>
      <c r="E457">
        <v>7</v>
      </c>
      <c r="F457">
        <v>8</v>
      </c>
      <c r="G457">
        <v>6.4836123771965504</v>
      </c>
      <c r="H457" t="s">
        <v>219</v>
      </c>
      <c r="I457" t="s">
        <v>29</v>
      </c>
      <c r="J457">
        <v>0</v>
      </c>
      <c r="K457">
        <v>34</v>
      </c>
      <c r="L457" t="s">
        <v>262</v>
      </c>
      <c r="M457">
        <v>998</v>
      </c>
      <c r="N457">
        <v>0.42860953137278551</v>
      </c>
      <c r="O457">
        <v>8.7134452052414417</v>
      </c>
      <c r="P457">
        <v>0.63251594454050064</v>
      </c>
      <c r="Q457">
        <v>5.7981423102319241</v>
      </c>
      <c r="R457">
        <v>4</v>
      </c>
      <c r="S457" t="s">
        <v>196</v>
      </c>
      <c r="T457">
        <v>2024</v>
      </c>
      <c r="U457" s="1">
        <v>45901.600802198707</v>
      </c>
      <c r="V457" t="s">
        <v>32</v>
      </c>
      <c r="W457" t="s">
        <v>182</v>
      </c>
      <c r="X457">
        <v>1.262416844416846</v>
      </c>
      <c r="Y457">
        <v>1.2338800555284151</v>
      </c>
      <c r="Z457">
        <v>2.2865547947585578</v>
      </c>
      <c r="AA457">
        <v>3.0661322645290578</v>
      </c>
      <c r="AB457">
        <v>0.78578163173520021</v>
      </c>
    </row>
    <row r="458" spans="1:28" x14ac:dyDescent="0.25">
      <c r="A458">
        <v>3</v>
      </c>
      <c r="B458">
        <v>37</v>
      </c>
      <c r="C458">
        <v>11</v>
      </c>
      <c r="D458">
        <v>2543</v>
      </c>
      <c r="E458">
        <v>18</v>
      </c>
      <c r="F458">
        <v>11</v>
      </c>
      <c r="G458">
        <v>11.55319753941148</v>
      </c>
      <c r="H458" t="s">
        <v>273</v>
      </c>
      <c r="I458" t="s">
        <v>29</v>
      </c>
      <c r="J458">
        <v>0</v>
      </c>
      <c r="K458">
        <v>46</v>
      </c>
      <c r="L458" t="s">
        <v>215</v>
      </c>
      <c r="M458">
        <v>1968</v>
      </c>
      <c r="N458">
        <v>3.1776098990812902</v>
      </c>
      <c r="O458">
        <v>11.55319753941148</v>
      </c>
      <c r="P458">
        <v>3.1693250574171539</v>
      </c>
      <c r="Q458">
        <v>16.699708112515509</v>
      </c>
      <c r="R458">
        <v>2</v>
      </c>
      <c r="S458" t="s">
        <v>196</v>
      </c>
      <c r="T458">
        <v>2024</v>
      </c>
      <c r="U458" s="1">
        <v>45901.600802198707</v>
      </c>
      <c r="V458" t="s">
        <v>32</v>
      </c>
      <c r="W458" t="s">
        <v>182</v>
      </c>
      <c r="X458">
        <v>0.95211736512559764</v>
      </c>
      <c r="Y458">
        <v>0.95211736512559764</v>
      </c>
      <c r="Z458">
        <v>-0.55319753941148342</v>
      </c>
      <c r="AA458">
        <v>2.1036585365853662</v>
      </c>
      <c r="AB458">
        <v>0.52834744844869586</v>
      </c>
    </row>
    <row r="459" spans="1:28" x14ac:dyDescent="0.25">
      <c r="A459">
        <v>2</v>
      </c>
      <c r="B459">
        <v>38</v>
      </c>
      <c r="C459">
        <v>11</v>
      </c>
      <c r="D459">
        <v>5706</v>
      </c>
      <c r="E459">
        <v>54</v>
      </c>
      <c r="F459">
        <v>10</v>
      </c>
      <c r="G459">
        <v>8.4994063628837466</v>
      </c>
      <c r="H459" t="s">
        <v>315</v>
      </c>
      <c r="I459" t="s">
        <v>35</v>
      </c>
      <c r="J459">
        <v>1</v>
      </c>
      <c r="K459">
        <v>94</v>
      </c>
      <c r="L459" t="s">
        <v>203</v>
      </c>
      <c r="M459">
        <v>3117</v>
      </c>
      <c r="N459">
        <v>5.3906967900693417</v>
      </c>
      <c r="O459">
        <v>9.2426840020343661</v>
      </c>
      <c r="P459">
        <v>3.354012044146657</v>
      </c>
      <c r="Q459">
        <v>14.77239507436752</v>
      </c>
      <c r="R459">
        <v>3</v>
      </c>
      <c r="S459" t="s">
        <v>196</v>
      </c>
      <c r="T459">
        <v>2024</v>
      </c>
      <c r="U459" s="1">
        <v>45901.600802198707</v>
      </c>
      <c r="V459" t="s">
        <v>32</v>
      </c>
      <c r="W459" t="s">
        <v>182</v>
      </c>
      <c r="X459">
        <v>1.190130485644521</v>
      </c>
      <c r="Y459">
        <v>1.17655275828077</v>
      </c>
      <c r="Z459">
        <v>1.7573159979656341</v>
      </c>
      <c r="AA459">
        <v>2.7141482194417712</v>
      </c>
      <c r="AB459">
        <v>0.26687249284026082</v>
      </c>
    </row>
    <row r="460" spans="1:28" x14ac:dyDescent="0.25">
      <c r="A460">
        <v>2</v>
      </c>
      <c r="B460">
        <v>31</v>
      </c>
      <c r="C460">
        <v>11</v>
      </c>
      <c r="D460">
        <v>6637</v>
      </c>
      <c r="E460">
        <v>13</v>
      </c>
      <c r="F460">
        <v>10</v>
      </c>
      <c r="G460">
        <v>10.22548623383045</v>
      </c>
      <c r="H460" t="s">
        <v>309</v>
      </c>
      <c r="I460" t="s">
        <v>29</v>
      </c>
      <c r="J460">
        <v>0</v>
      </c>
      <c r="K460">
        <v>48</v>
      </c>
      <c r="L460" t="s">
        <v>225</v>
      </c>
      <c r="M460">
        <v>2180</v>
      </c>
      <c r="N460">
        <v>1.450842097401619</v>
      </c>
      <c r="O460">
        <v>10.96876390278339</v>
      </c>
      <c r="P460">
        <v>0.9808358121663332</v>
      </c>
      <c r="Q460">
        <v>10.645109824836251</v>
      </c>
      <c r="R460">
        <v>5</v>
      </c>
      <c r="S460" t="s">
        <v>196</v>
      </c>
      <c r="T460">
        <v>2024</v>
      </c>
      <c r="U460" s="1">
        <v>45901.600802198707</v>
      </c>
      <c r="V460" t="s">
        <v>32</v>
      </c>
      <c r="W460" t="s">
        <v>182</v>
      </c>
      <c r="X460">
        <v>1.002847731749307</v>
      </c>
      <c r="Y460">
        <v>0.97794860521307603</v>
      </c>
      <c r="Z460">
        <v>3.123609721660614E-2</v>
      </c>
      <c r="AA460">
        <v>1.9816513761467891</v>
      </c>
      <c r="AB460">
        <v>0.45283887672041528</v>
      </c>
    </row>
    <row r="461" spans="1:28" x14ac:dyDescent="0.25">
      <c r="A461">
        <v>8</v>
      </c>
      <c r="B461">
        <v>30</v>
      </c>
      <c r="C461">
        <v>11</v>
      </c>
      <c r="D461">
        <v>7008</v>
      </c>
      <c r="E461">
        <v>58</v>
      </c>
      <c r="F461">
        <v>9</v>
      </c>
      <c r="G461">
        <v>10.54524310678244</v>
      </c>
      <c r="H461" t="s">
        <v>292</v>
      </c>
      <c r="I461" t="s">
        <v>35</v>
      </c>
      <c r="J461">
        <v>1</v>
      </c>
      <c r="K461">
        <v>81</v>
      </c>
      <c r="L461" t="s">
        <v>195</v>
      </c>
      <c r="M461">
        <v>2267</v>
      </c>
      <c r="N461">
        <v>8.6393026988953352</v>
      </c>
      <c r="O461">
        <v>12.775075949728491</v>
      </c>
      <c r="P461">
        <v>7.6326437685638666</v>
      </c>
      <c r="Q461">
        <v>23.500222906470299</v>
      </c>
      <c r="R461">
        <v>8</v>
      </c>
      <c r="S461" t="s">
        <v>196</v>
      </c>
      <c r="T461">
        <v>2024</v>
      </c>
      <c r="U461" s="1">
        <v>45901.600802198707</v>
      </c>
      <c r="V461" t="s">
        <v>32</v>
      </c>
      <c r="W461" t="s">
        <v>182</v>
      </c>
      <c r="X461">
        <v>0.86105163235712789</v>
      </c>
      <c r="Y461">
        <v>0.85346538802992844</v>
      </c>
      <c r="Z461">
        <v>-1.7750759497284869</v>
      </c>
      <c r="AA461">
        <v>3.21570357300397</v>
      </c>
      <c r="AB461">
        <v>0.50717107872764178</v>
      </c>
    </row>
    <row r="462" spans="1:28" x14ac:dyDescent="0.25">
      <c r="A462">
        <v>4</v>
      </c>
      <c r="B462">
        <v>35</v>
      </c>
      <c r="C462">
        <v>11</v>
      </c>
      <c r="D462">
        <v>12916</v>
      </c>
      <c r="E462">
        <v>24</v>
      </c>
      <c r="F462">
        <v>10</v>
      </c>
      <c r="G462">
        <v>14.316296067088841</v>
      </c>
      <c r="H462" t="s">
        <v>316</v>
      </c>
      <c r="I462" t="s">
        <v>29</v>
      </c>
      <c r="J462">
        <v>0</v>
      </c>
      <c r="K462">
        <v>73</v>
      </c>
      <c r="L462" t="s">
        <v>221</v>
      </c>
      <c r="M462">
        <v>2322</v>
      </c>
      <c r="N462">
        <v>3.6662745662033558</v>
      </c>
      <c r="O462">
        <v>15.0595736168325</v>
      </c>
      <c r="P462">
        <v>4.0202120169997224</v>
      </c>
      <c r="Q462">
        <v>19.06630855053664</v>
      </c>
      <c r="R462">
        <v>4</v>
      </c>
      <c r="S462" t="s">
        <v>196</v>
      </c>
      <c r="T462">
        <v>2024</v>
      </c>
      <c r="U462" s="1">
        <v>45901.600802198707</v>
      </c>
      <c r="V462" t="s">
        <v>32</v>
      </c>
      <c r="W462" t="s">
        <v>182</v>
      </c>
      <c r="X462">
        <v>0.73043236680386492</v>
      </c>
      <c r="Y462">
        <v>0.69850469375166091</v>
      </c>
      <c r="Z462">
        <v>-4.0595736168324974</v>
      </c>
      <c r="AA462">
        <v>2.829457364341085</v>
      </c>
      <c r="AB462">
        <v>0.58370440375319754</v>
      </c>
    </row>
    <row r="463" spans="1:28" x14ac:dyDescent="0.25">
      <c r="A463">
        <v>5</v>
      </c>
      <c r="B463">
        <v>30</v>
      </c>
      <c r="C463">
        <v>10</v>
      </c>
      <c r="D463">
        <v>2290</v>
      </c>
      <c r="E463">
        <v>38</v>
      </c>
      <c r="F463">
        <v>5</v>
      </c>
      <c r="G463">
        <v>3.8116914834827198</v>
      </c>
      <c r="H463" t="s">
        <v>236</v>
      </c>
      <c r="I463" t="s">
        <v>35</v>
      </c>
      <c r="J463">
        <v>1</v>
      </c>
      <c r="K463">
        <v>52</v>
      </c>
      <c r="L463" t="s">
        <v>215</v>
      </c>
      <c r="M463">
        <v>1751</v>
      </c>
      <c r="N463">
        <v>4.8234537895768881</v>
      </c>
      <c r="O463">
        <v>8.2713572345674038</v>
      </c>
      <c r="P463">
        <v>5.2112893238663673</v>
      </c>
      <c r="Q463">
        <v>11.487054361030459</v>
      </c>
      <c r="R463">
        <v>4</v>
      </c>
      <c r="S463" t="s">
        <v>196</v>
      </c>
      <c r="T463">
        <v>2024</v>
      </c>
      <c r="U463" s="1">
        <v>45901.600802198707</v>
      </c>
      <c r="V463" t="s">
        <v>32</v>
      </c>
      <c r="W463" t="s">
        <v>182</v>
      </c>
      <c r="X463">
        <v>1.2089914286627961</v>
      </c>
      <c r="Y463">
        <v>1.3117535932975171</v>
      </c>
      <c r="Z463">
        <v>1.728642765432596</v>
      </c>
      <c r="AA463">
        <v>2.6727584237578532</v>
      </c>
      <c r="AB463">
        <v>0.42514114855000928</v>
      </c>
    </row>
    <row r="464" spans="1:28" x14ac:dyDescent="0.25">
      <c r="A464">
        <v>0</v>
      </c>
      <c r="B464">
        <v>35</v>
      </c>
      <c r="C464">
        <v>10</v>
      </c>
      <c r="D464">
        <v>3264</v>
      </c>
      <c r="E464">
        <v>18</v>
      </c>
      <c r="F464">
        <v>7</v>
      </c>
      <c r="G464">
        <v>7.2518938705325127</v>
      </c>
      <c r="H464" t="s">
        <v>317</v>
      </c>
      <c r="I464" t="s">
        <v>35</v>
      </c>
      <c r="J464">
        <v>0</v>
      </c>
      <c r="K464">
        <v>56</v>
      </c>
      <c r="L464" t="s">
        <v>266</v>
      </c>
      <c r="M464">
        <v>2670</v>
      </c>
      <c r="N464">
        <v>0.64966598525643349</v>
      </c>
      <c r="O464">
        <v>9.48172677308321</v>
      </c>
      <c r="P464">
        <v>3.090469960123301</v>
      </c>
      <c r="Q464">
        <v>9.0333976782858354</v>
      </c>
      <c r="R464">
        <v>10</v>
      </c>
      <c r="S464" t="s">
        <v>196</v>
      </c>
      <c r="T464">
        <v>2024</v>
      </c>
      <c r="U464" s="1">
        <v>45901.600802198707</v>
      </c>
      <c r="V464" t="s">
        <v>32</v>
      </c>
      <c r="W464" t="s">
        <v>182</v>
      </c>
      <c r="X464">
        <v>1.05466021530889</v>
      </c>
      <c r="Y464">
        <v>0.96526509143272721</v>
      </c>
      <c r="Z464">
        <v>0.51827322691679001</v>
      </c>
      <c r="AA464">
        <v>1.887640449438202</v>
      </c>
      <c r="AB464">
        <v>0.31960876763201829</v>
      </c>
    </row>
    <row r="465" spans="1:28" x14ac:dyDescent="0.25">
      <c r="A465">
        <v>6</v>
      </c>
      <c r="B465">
        <v>27</v>
      </c>
      <c r="C465">
        <v>10</v>
      </c>
      <c r="D465">
        <v>6441</v>
      </c>
      <c r="E465">
        <v>19</v>
      </c>
      <c r="F465">
        <v>10</v>
      </c>
      <c r="G465">
        <v>9.6824027393013239</v>
      </c>
      <c r="H465" t="s">
        <v>318</v>
      </c>
      <c r="I465" t="s">
        <v>35</v>
      </c>
      <c r="J465">
        <v>1</v>
      </c>
      <c r="K465">
        <v>48</v>
      </c>
      <c r="L465" t="s">
        <v>198</v>
      </c>
      <c r="M465">
        <v>1093</v>
      </c>
      <c r="N465">
        <v>3.5561560001224279</v>
      </c>
      <c r="O465">
        <v>9.6824027393013239</v>
      </c>
      <c r="P465">
        <v>2.2580158375203609</v>
      </c>
      <c r="Q465">
        <v>14.0587896630168</v>
      </c>
      <c r="R465">
        <v>1</v>
      </c>
      <c r="S465" t="s">
        <v>196</v>
      </c>
      <c r="T465">
        <v>2024</v>
      </c>
      <c r="U465" s="1">
        <v>45901.600802198707</v>
      </c>
      <c r="V465" t="s">
        <v>32</v>
      </c>
      <c r="W465" t="s">
        <v>182</v>
      </c>
      <c r="X465">
        <v>1.032801492485903</v>
      </c>
      <c r="Y465">
        <v>1.032801492485903</v>
      </c>
      <c r="Z465">
        <v>0.31759726069867611</v>
      </c>
      <c r="AA465">
        <v>3.9524245196706311</v>
      </c>
      <c r="AB465">
        <v>0.7972701249195967</v>
      </c>
    </row>
    <row r="466" spans="1:28" x14ac:dyDescent="0.25">
      <c r="A466">
        <v>3</v>
      </c>
      <c r="B466">
        <v>24</v>
      </c>
      <c r="C466">
        <v>10</v>
      </c>
      <c r="D466">
        <v>8778</v>
      </c>
      <c r="E466">
        <v>16</v>
      </c>
      <c r="F466">
        <v>8</v>
      </c>
      <c r="G466">
        <v>7.0475062392652044</v>
      </c>
      <c r="H466" t="s">
        <v>319</v>
      </c>
      <c r="I466" t="s">
        <v>35</v>
      </c>
      <c r="J466">
        <v>0</v>
      </c>
      <c r="K466">
        <v>49</v>
      </c>
      <c r="L466" t="s">
        <v>247</v>
      </c>
      <c r="M466">
        <v>1902</v>
      </c>
      <c r="N466">
        <v>2.4877502452582121</v>
      </c>
      <c r="O466">
        <v>9.2773391474038363</v>
      </c>
      <c r="P466">
        <v>2.4896166315302248</v>
      </c>
      <c r="Q466">
        <v>9.9647146612405777</v>
      </c>
      <c r="R466">
        <v>7</v>
      </c>
      <c r="S466" t="s">
        <v>196</v>
      </c>
      <c r="T466">
        <v>2024</v>
      </c>
      <c r="U466" s="1">
        <v>45901.600802198707</v>
      </c>
      <c r="V466" t="s">
        <v>32</v>
      </c>
      <c r="W466" t="s">
        <v>182</v>
      </c>
      <c r="X466">
        <v>1.077895271598257</v>
      </c>
      <c r="Y466">
        <v>1.1351533050695259</v>
      </c>
      <c r="Z466">
        <v>0.72266085259616375</v>
      </c>
      <c r="AA466">
        <v>2.3186119873817028</v>
      </c>
      <c r="AB466">
        <v>0.43899081139134871</v>
      </c>
    </row>
    <row r="467" spans="1:28" x14ac:dyDescent="0.25">
      <c r="A467">
        <v>2</v>
      </c>
      <c r="B467">
        <v>26</v>
      </c>
      <c r="C467">
        <v>19</v>
      </c>
      <c r="D467">
        <v>356</v>
      </c>
      <c r="E467">
        <v>22</v>
      </c>
      <c r="F467">
        <v>16</v>
      </c>
      <c r="G467">
        <v>12.36483580991626</v>
      </c>
      <c r="H467" t="s">
        <v>320</v>
      </c>
      <c r="I467" t="s">
        <v>35</v>
      </c>
      <c r="J467">
        <v>0</v>
      </c>
      <c r="K467">
        <v>80</v>
      </c>
      <c r="L467" t="s">
        <v>321</v>
      </c>
      <c r="M467">
        <v>2209</v>
      </c>
      <c r="N467">
        <v>1.268693317659199</v>
      </c>
      <c r="O467">
        <v>15.39592979475856</v>
      </c>
      <c r="P467">
        <v>1.9156572110950949</v>
      </c>
      <c r="Q467">
        <v>12.40880362968892</v>
      </c>
      <c r="R467">
        <v>0</v>
      </c>
      <c r="S467" t="s">
        <v>322</v>
      </c>
      <c r="T467">
        <v>2014</v>
      </c>
      <c r="U467" s="1">
        <v>45901.600802198707</v>
      </c>
      <c r="V467" t="s">
        <v>32</v>
      </c>
      <c r="W467" t="s">
        <v>33</v>
      </c>
      <c r="X467">
        <v>1.234092403205711</v>
      </c>
      <c r="Y467">
        <v>1.2939921116597799</v>
      </c>
      <c r="Z467">
        <v>3.6040702052414422</v>
      </c>
      <c r="AA467">
        <v>3.2593933906745129</v>
      </c>
      <c r="AB467">
        <v>0.62726739770406081</v>
      </c>
    </row>
    <row r="468" spans="1:28" x14ac:dyDescent="0.25">
      <c r="A468">
        <v>5</v>
      </c>
      <c r="B468">
        <v>31</v>
      </c>
      <c r="C468">
        <v>17</v>
      </c>
      <c r="D468">
        <v>227</v>
      </c>
      <c r="E468">
        <v>32</v>
      </c>
      <c r="F468">
        <v>16</v>
      </c>
      <c r="G468">
        <v>16.96440165489912</v>
      </c>
      <c r="H468" t="s">
        <v>299</v>
      </c>
      <c r="I468" t="s">
        <v>35</v>
      </c>
      <c r="J468">
        <v>0</v>
      </c>
      <c r="K468">
        <v>104</v>
      </c>
      <c r="L468" t="s">
        <v>323</v>
      </c>
      <c r="M468">
        <v>2493</v>
      </c>
      <c r="N468">
        <v>4.644012862816453</v>
      </c>
      <c r="O468">
        <v>17.72217770665884</v>
      </c>
      <c r="P468">
        <v>4.9248238448053598</v>
      </c>
      <c r="Q468">
        <v>23.315436419099569</v>
      </c>
      <c r="R468">
        <v>0</v>
      </c>
      <c r="S468" t="s">
        <v>322</v>
      </c>
      <c r="T468">
        <v>2014</v>
      </c>
      <c r="U468" s="1">
        <v>45901.600802198707</v>
      </c>
      <c r="V468" t="s">
        <v>32</v>
      </c>
      <c r="W468" t="s">
        <v>33</v>
      </c>
      <c r="X468">
        <v>0.95925005839505306</v>
      </c>
      <c r="Y468">
        <v>0.94315144886818847</v>
      </c>
      <c r="Z468">
        <v>-0.72217770665884018</v>
      </c>
      <c r="AA468">
        <v>3.754512635379061</v>
      </c>
      <c r="AB468">
        <v>0.63978980890465131</v>
      </c>
    </row>
    <row r="469" spans="1:28" x14ac:dyDescent="0.25">
      <c r="A469">
        <v>4</v>
      </c>
      <c r="B469">
        <v>21</v>
      </c>
      <c r="C469">
        <v>16</v>
      </c>
      <c r="D469">
        <v>158</v>
      </c>
      <c r="E469">
        <v>15</v>
      </c>
      <c r="F469">
        <v>16</v>
      </c>
      <c r="G469">
        <v>11.34197989851236</v>
      </c>
      <c r="H469" t="s">
        <v>324</v>
      </c>
      <c r="I469" t="s">
        <v>29</v>
      </c>
      <c r="J469">
        <v>0</v>
      </c>
      <c r="K469">
        <v>43</v>
      </c>
      <c r="L469" t="s">
        <v>325</v>
      </c>
      <c r="M469">
        <v>1532</v>
      </c>
      <c r="N469">
        <v>2.6591864041984081</v>
      </c>
      <c r="O469">
        <v>11.34197989851236</v>
      </c>
      <c r="P469">
        <v>2.5383046250790362</v>
      </c>
      <c r="Q469">
        <v>15.91189396381378</v>
      </c>
      <c r="R469">
        <v>1</v>
      </c>
      <c r="S469" t="s">
        <v>322</v>
      </c>
      <c r="T469">
        <v>2014</v>
      </c>
      <c r="U469" s="1">
        <v>45901.600802198707</v>
      </c>
      <c r="V469" t="s">
        <v>32</v>
      </c>
      <c r="W469" t="s">
        <v>33</v>
      </c>
      <c r="X469">
        <v>1.4106884462119871</v>
      </c>
      <c r="Y469">
        <v>1.4106884462119871</v>
      </c>
      <c r="Z469">
        <v>4.6580201014876366</v>
      </c>
      <c r="AA469">
        <v>2.5261096605744129</v>
      </c>
      <c r="AB469">
        <v>0.66630430213192737</v>
      </c>
    </row>
    <row r="470" spans="1:28" x14ac:dyDescent="0.25">
      <c r="A470">
        <v>6</v>
      </c>
      <c r="B470">
        <v>33</v>
      </c>
      <c r="C470">
        <v>16</v>
      </c>
      <c r="D470">
        <v>318</v>
      </c>
      <c r="E470">
        <v>46</v>
      </c>
      <c r="F470">
        <v>14</v>
      </c>
      <c r="G470">
        <v>13.881214778870341</v>
      </c>
      <c r="H470" t="s">
        <v>105</v>
      </c>
      <c r="I470" t="s">
        <v>35</v>
      </c>
      <c r="J470">
        <v>0</v>
      </c>
      <c r="K470">
        <v>102</v>
      </c>
      <c r="L470" t="s">
        <v>326</v>
      </c>
      <c r="M470">
        <v>2724</v>
      </c>
      <c r="N470">
        <v>6.3780214292928576</v>
      </c>
      <c r="O470">
        <v>15.396766778081661</v>
      </c>
      <c r="P470">
        <v>2.5126489661633968</v>
      </c>
      <c r="Q470">
        <v>20.85270912759006</v>
      </c>
      <c r="R470">
        <v>4</v>
      </c>
      <c r="S470" t="s">
        <v>322</v>
      </c>
      <c r="T470">
        <v>2014</v>
      </c>
      <c r="U470" s="1">
        <v>45901.600802198707</v>
      </c>
      <c r="V470" t="s">
        <v>32</v>
      </c>
      <c r="W470" t="s">
        <v>33</v>
      </c>
      <c r="X470">
        <v>1.039179214091694</v>
      </c>
      <c r="Y470">
        <v>1.0085572641171481</v>
      </c>
      <c r="Z470">
        <v>0.6032332219183445</v>
      </c>
      <c r="AA470">
        <v>3.3700440528634359</v>
      </c>
      <c r="AB470">
        <v>0.50870374817450403</v>
      </c>
    </row>
    <row r="471" spans="1:28" x14ac:dyDescent="0.25">
      <c r="A471">
        <v>10</v>
      </c>
      <c r="B471">
        <v>32</v>
      </c>
      <c r="C471">
        <v>13</v>
      </c>
      <c r="D471">
        <v>224</v>
      </c>
      <c r="E471">
        <v>40</v>
      </c>
      <c r="F471">
        <v>10</v>
      </c>
      <c r="G471">
        <v>11.80478136055172</v>
      </c>
      <c r="H471" t="s">
        <v>327</v>
      </c>
      <c r="I471" t="s">
        <v>35</v>
      </c>
      <c r="J471">
        <v>0</v>
      </c>
      <c r="K471">
        <v>83</v>
      </c>
      <c r="L471" t="s">
        <v>323</v>
      </c>
      <c r="M471">
        <v>2382</v>
      </c>
      <c r="N471">
        <v>6.4591850079596043</v>
      </c>
      <c r="O471">
        <v>14.07810943387449</v>
      </c>
      <c r="P471">
        <v>6.3404817469418049</v>
      </c>
      <c r="Q471">
        <v>23.158113352954391</v>
      </c>
      <c r="R471">
        <v>1</v>
      </c>
      <c r="S471" t="s">
        <v>322</v>
      </c>
      <c r="T471">
        <v>2014</v>
      </c>
      <c r="U471" s="1">
        <v>45901.600802198707</v>
      </c>
      <c r="V471" t="s">
        <v>32</v>
      </c>
      <c r="W471" t="s">
        <v>33</v>
      </c>
      <c r="X471">
        <v>0.92341944499448481</v>
      </c>
      <c r="Y471">
        <v>0.8471143763337462</v>
      </c>
      <c r="Z471">
        <v>-1.0781094338744881</v>
      </c>
      <c r="AA471">
        <v>3.1360201511335011</v>
      </c>
      <c r="AB471">
        <v>0.53191849246377154</v>
      </c>
    </row>
    <row r="472" spans="1:28" x14ac:dyDescent="0.25">
      <c r="A472">
        <v>2</v>
      </c>
      <c r="B472">
        <v>26</v>
      </c>
      <c r="C472">
        <v>13</v>
      </c>
      <c r="D472">
        <v>341</v>
      </c>
      <c r="E472">
        <v>24</v>
      </c>
      <c r="F472">
        <v>10</v>
      </c>
      <c r="G472">
        <v>6.386788010597229</v>
      </c>
      <c r="H472" t="s">
        <v>328</v>
      </c>
      <c r="I472" t="s">
        <v>32</v>
      </c>
      <c r="J472">
        <v>0</v>
      </c>
      <c r="K472">
        <v>54</v>
      </c>
      <c r="L472" t="s">
        <v>329</v>
      </c>
      <c r="M472">
        <v>2301</v>
      </c>
      <c r="N472">
        <v>1.7892142124474051</v>
      </c>
      <c r="O472">
        <v>9.4178155362606049</v>
      </c>
      <c r="P472">
        <v>2.38564120605588</v>
      </c>
      <c r="Q472">
        <v>9.5325169935822487</v>
      </c>
      <c r="R472">
        <v>8</v>
      </c>
      <c r="S472" t="s">
        <v>322</v>
      </c>
      <c r="T472">
        <v>2014</v>
      </c>
      <c r="U472" s="1">
        <v>45901.600802198707</v>
      </c>
      <c r="V472" t="s">
        <v>32</v>
      </c>
      <c r="W472" t="s">
        <v>33</v>
      </c>
      <c r="X472">
        <v>1.380362563903192</v>
      </c>
      <c r="Y472">
        <v>1.565732255933276</v>
      </c>
      <c r="Z472">
        <v>3.5821844637393951</v>
      </c>
      <c r="AA472">
        <v>2.112125162972621</v>
      </c>
      <c r="AB472">
        <v>0.36836305878463899</v>
      </c>
    </row>
    <row r="473" spans="1:28" x14ac:dyDescent="0.25">
      <c r="A473">
        <v>6</v>
      </c>
      <c r="B473">
        <v>33</v>
      </c>
      <c r="C473">
        <v>12</v>
      </c>
      <c r="D473">
        <v>186</v>
      </c>
      <c r="E473">
        <v>45</v>
      </c>
      <c r="F473">
        <v>12</v>
      </c>
      <c r="G473">
        <v>10.10816962644458</v>
      </c>
      <c r="H473" t="s">
        <v>330</v>
      </c>
      <c r="I473" t="s">
        <v>35</v>
      </c>
      <c r="J473">
        <v>0</v>
      </c>
      <c r="K473">
        <v>104</v>
      </c>
      <c r="L473" t="s">
        <v>331</v>
      </c>
      <c r="M473">
        <v>2731</v>
      </c>
      <c r="N473">
        <v>4.98108253441751</v>
      </c>
      <c r="O473">
        <v>10.10816962644458</v>
      </c>
      <c r="P473">
        <v>5.5593339372426271</v>
      </c>
      <c r="Q473">
        <v>18.11762835457921</v>
      </c>
      <c r="R473">
        <v>5</v>
      </c>
      <c r="S473" t="s">
        <v>322</v>
      </c>
      <c r="T473">
        <v>2014</v>
      </c>
      <c r="U473" s="1">
        <v>45901.600802198707</v>
      </c>
      <c r="V473" t="s">
        <v>32</v>
      </c>
      <c r="W473" t="s">
        <v>33</v>
      </c>
      <c r="X473">
        <v>1.1871585503082669</v>
      </c>
      <c r="Y473">
        <v>1.1871585503082669</v>
      </c>
      <c r="Z473">
        <v>1.8918303735554221</v>
      </c>
      <c r="AA473">
        <v>3.4273160014646651</v>
      </c>
      <c r="AB473">
        <v>0.33311434140608281</v>
      </c>
    </row>
    <row r="474" spans="1:28" x14ac:dyDescent="0.25">
      <c r="A474">
        <v>2</v>
      </c>
      <c r="B474">
        <v>31</v>
      </c>
      <c r="C474">
        <v>12</v>
      </c>
      <c r="D474">
        <v>210</v>
      </c>
      <c r="E474">
        <v>42</v>
      </c>
      <c r="F474">
        <v>12</v>
      </c>
      <c r="G474">
        <v>10.89081723801792</v>
      </c>
      <c r="H474" t="s">
        <v>332</v>
      </c>
      <c r="I474" t="s">
        <v>35</v>
      </c>
      <c r="J474">
        <v>0</v>
      </c>
      <c r="K474">
        <v>67</v>
      </c>
      <c r="L474" t="s">
        <v>333</v>
      </c>
      <c r="M474">
        <v>2386</v>
      </c>
      <c r="N474">
        <v>4.3427491150796413</v>
      </c>
      <c r="O474">
        <v>10.89081723801792</v>
      </c>
      <c r="P474">
        <v>8.1504562851041555</v>
      </c>
      <c r="Q474">
        <v>20.307479009032249</v>
      </c>
      <c r="R474">
        <v>1</v>
      </c>
      <c r="S474" t="s">
        <v>322</v>
      </c>
      <c r="T474">
        <v>2014</v>
      </c>
      <c r="U474" s="1">
        <v>45901.600802198707</v>
      </c>
      <c r="V474" t="s">
        <v>32</v>
      </c>
      <c r="W474" t="s">
        <v>33</v>
      </c>
      <c r="X474">
        <v>1.101845686851683</v>
      </c>
      <c r="Y474">
        <v>1.101845686851683</v>
      </c>
      <c r="Z474">
        <v>1.1091827619820831</v>
      </c>
      <c r="AA474">
        <v>2.5272422464375519</v>
      </c>
      <c r="AB474">
        <v>0.4108019913753615</v>
      </c>
    </row>
    <row r="475" spans="1:28" x14ac:dyDescent="0.25">
      <c r="A475">
        <v>3</v>
      </c>
      <c r="B475">
        <v>32</v>
      </c>
      <c r="C475">
        <v>12</v>
      </c>
      <c r="D475">
        <v>754</v>
      </c>
      <c r="E475">
        <v>26</v>
      </c>
      <c r="F475">
        <v>12</v>
      </c>
      <c r="G475">
        <v>9.8327047601342201</v>
      </c>
      <c r="H475" t="s">
        <v>334</v>
      </c>
      <c r="I475" t="s">
        <v>29</v>
      </c>
      <c r="J475">
        <v>0</v>
      </c>
      <c r="K475">
        <v>59</v>
      </c>
      <c r="L475" t="s">
        <v>335</v>
      </c>
      <c r="M475">
        <v>2787</v>
      </c>
      <c r="N475">
        <v>3.273494689725339</v>
      </c>
      <c r="O475">
        <v>9.8327047601342201</v>
      </c>
      <c r="P475">
        <v>2.3566638007760048</v>
      </c>
      <c r="Q475">
        <v>12.56701660528779</v>
      </c>
      <c r="R475">
        <v>4</v>
      </c>
      <c r="S475" t="s">
        <v>322</v>
      </c>
      <c r="T475">
        <v>2014</v>
      </c>
      <c r="U475" s="1">
        <v>45901.600802198707</v>
      </c>
      <c r="V475" t="s">
        <v>32</v>
      </c>
      <c r="W475" t="s">
        <v>33</v>
      </c>
      <c r="X475">
        <v>1.220416995398141</v>
      </c>
      <c r="Y475">
        <v>1.220416995398141</v>
      </c>
      <c r="Z475">
        <v>2.1672952398657799</v>
      </c>
      <c r="AA475">
        <v>1.9052744886975239</v>
      </c>
      <c r="AB475">
        <v>0.31752544973522778</v>
      </c>
    </row>
    <row r="476" spans="1:28" x14ac:dyDescent="0.25">
      <c r="A476">
        <v>9</v>
      </c>
      <c r="B476">
        <v>32</v>
      </c>
      <c r="C476">
        <v>11</v>
      </c>
      <c r="D476">
        <v>155</v>
      </c>
      <c r="E476">
        <v>77</v>
      </c>
      <c r="F476">
        <v>8</v>
      </c>
      <c r="G476">
        <v>8.8053698651492596</v>
      </c>
      <c r="H476" t="s">
        <v>336</v>
      </c>
      <c r="I476" t="s">
        <v>29</v>
      </c>
      <c r="J476">
        <v>0</v>
      </c>
      <c r="K476">
        <v>65</v>
      </c>
      <c r="L476" t="s">
        <v>333</v>
      </c>
      <c r="M476">
        <v>2586</v>
      </c>
      <c r="N476">
        <v>8.6536318762227893</v>
      </c>
      <c r="O476">
        <v>11.078696148470041</v>
      </c>
      <c r="P476">
        <v>9.9100939314812422</v>
      </c>
      <c r="Q476">
        <v>21.17549055442214</v>
      </c>
      <c r="R476">
        <v>2</v>
      </c>
      <c r="S476" t="s">
        <v>322</v>
      </c>
      <c r="T476">
        <v>2014</v>
      </c>
      <c r="U476" s="1">
        <v>45901.600802198707</v>
      </c>
      <c r="V476" t="s">
        <v>32</v>
      </c>
      <c r="W476" t="s">
        <v>33</v>
      </c>
      <c r="X476">
        <v>0.99289662362651654</v>
      </c>
      <c r="Y476">
        <v>0.90853650925705798</v>
      </c>
      <c r="Z476">
        <v>-7.8696148470044136E-2</v>
      </c>
      <c r="AA476">
        <v>2.2621809744779582</v>
      </c>
      <c r="AB476">
        <v>0.38556947152447951</v>
      </c>
    </row>
    <row r="477" spans="1:28" x14ac:dyDescent="0.25">
      <c r="A477">
        <v>4</v>
      </c>
      <c r="B477">
        <v>32</v>
      </c>
      <c r="C477">
        <v>11</v>
      </c>
      <c r="D477">
        <v>420</v>
      </c>
      <c r="E477">
        <v>34</v>
      </c>
      <c r="F477">
        <v>11</v>
      </c>
      <c r="G477">
        <v>9.3843605518341064</v>
      </c>
      <c r="H477" t="s">
        <v>337</v>
      </c>
      <c r="I477" t="s">
        <v>35</v>
      </c>
      <c r="J477">
        <v>0</v>
      </c>
      <c r="K477">
        <v>50</v>
      </c>
      <c r="L477" t="s">
        <v>333</v>
      </c>
      <c r="M477">
        <v>2214</v>
      </c>
      <c r="N477">
        <v>5.1314405258744964</v>
      </c>
      <c r="O477">
        <v>9.3843605518341064</v>
      </c>
      <c r="P477">
        <v>6.5801743688061833</v>
      </c>
      <c r="Q477">
        <v>16.3535673469305</v>
      </c>
      <c r="R477">
        <v>5</v>
      </c>
      <c r="S477" t="s">
        <v>322</v>
      </c>
      <c r="T477">
        <v>2014</v>
      </c>
      <c r="U477" s="1">
        <v>45901.600802198707</v>
      </c>
      <c r="V477" t="s">
        <v>32</v>
      </c>
      <c r="W477" t="s">
        <v>33</v>
      </c>
      <c r="X477">
        <v>1.1721629768210611</v>
      </c>
      <c r="Y477">
        <v>1.1721629768210611</v>
      </c>
      <c r="Z477">
        <v>1.615639448165894</v>
      </c>
      <c r="AA477">
        <v>2.0325203252032522</v>
      </c>
      <c r="AB477">
        <v>0.38147807121276861</v>
      </c>
    </row>
    <row r="478" spans="1:28" x14ac:dyDescent="0.25">
      <c r="A478">
        <v>3</v>
      </c>
      <c r="B478">
        <v>32</v>
      </c>
      <c r="C478">
        <v>10</v>
      </c>
      <c r="D478">
        <v>119</v>
      </c>
      <c r="E478">
        <v>33</v>
      </c>
      <c r="F478">
        <v>10</v>
      </c>
      <c r="G478">
        <v>7.9484054418280721</v>
      </c>
      <c r="H478" t="s">
        <v>338</v>
      </c>
      <c r="I478" t="s">
        <v>29</v>
      </c>
      <c r="J478">
        <v>0</v>
      </c>
      <c r="K478">
        <v>59</v>
      </c>
      <c r="L478" t="s">
        <v>339</v>
      </c>
      <c r="M478">
        <v>2357</v>
      </c>
      <c r="N478">
        <v>4.0750453975051641</v>
      </c>
      <c r="O478">
        <v>7.9484054418280721</v>
      </c>
      <c r="P478">
        <v>3.0468341093510389</v>
      </c>
      <c r="Q478">
        <v>12.668221244588491</v>
      </c>
      <c r="R478">
        <v>2</v>
      </c>
      <c r="S478" t="s">
        <v>322</v>
      </c>
      <c r="T478">
        <v>2014</v>
      </c>
      <c r="U478" s="1">
        <v>45901.600802198707</v>
      </c>
      <c r="V478" t="s">
        <v>32</v>
      </c>
      <c r="W478" t="s">
        <v>33</v>
      </c>
      <c r="X478">
        <v>1.2581139793618881</v>
      </c>
      <c r="Y478">
        <v>1.2581139793618881</v>
      </c>
      <c r="Z478">
        <v>2.0515945581719279</v>
      </c>
      <c r="AA478">
        <v>2.252863809927875</v>
      </c>
      <c r="AB478">
        <v>0.30350296553437689</v>
      </c>
    </row>
    <row r="479" spans="1:28" x14ac:dyDescent="0.25">
      <c r="A479">
        <v>2</v>
      </c>
      <c r="B479">
        <v>32</v>
      </c>
      <c r="C479">
        <v>10</v>
      </c>
      <c r="D479">
        <v>273</v>
      </c>
      <c r="E479">
        <v>41</v>
      </c>
      <c r="F479">
        <v>10</v>
      </c>
      <c r="G479">
        <v>10.460188976489009</v>
      </c>
      <c r="H479" t="s">
        <v>340</v>
      </c>
      <c r="I479" t="s">
        <v>35</v>
      </c>
      <c r="J479">
        <v>1</v>
      </c>
      <c r="K479">
        <v>83</v>
      </c>
      <c r="L479" t="s">
        <v>341</v>
      </c>
      <c r="M479">
        <v>2629</v>
      </c>
      <c r="N479">
        <v>2.7539713326841602</v>
      </c>
      <c r="O479">
        <v>10.460188976489009</v>
      </c>
      <c r="P479">
        <v>2.532640285789967</v>
      </c>
      <c r="Q479">
        <v>11.91606995742768</v>
      </c>
      <c r="R479">
        <v>4</v>
      </c>
      <c r="S479" t="s">
        <v>322</v>
      </c>
      <c r="T479">
        <v>2014</v>
      </c>
      <c r="U479" s="1">
        <v>45901.600802198707</v>
      </c>
      <c r="V479" t="s">
        <v>32</v>
      </c>
      <c r="W479" t="s">
        <v>33</v>
      </c>
      <c r="X479">
        <v>0.95600567279201576</v>
      </c>
      <c r="Y479">
        <v>0.95600567279201576</v>
      </c>
      <c r="Z479">
        <v>-0.46018897648900747</v>
      </c>
      <c r="AA479">
        <v>2.8413845568657279</v>
      </c>
      <c r="AB479">
        <v>0.35808939059871081</v>
      </c>
    </row>
    <row r="480" spans="1:28" x14ac:dyDescent="0.25">
      <c r="A480">
        <v>5</v>
      </c>
      <c r="B480">
        <v>32</v>
      </c>
      <c r="C480">
        <v>10</v>
      </c>
      <c r="D480">
        <v>291</v>
      </c>
      <c r="E480">
        <v>34</v>
      </c>
      <c r="F480">
        <v>10</v>
      </c>
      <c r="G480">
        <v>9.4342378191649914</v>
      </c>
      <c r="H480" t="s">
        <v>342</v>
      </c>
      <c r="I480" t="s">
        <v>49</v>
      </c>
      <c r="J480">
        <v>1</v>
      </c>
      <c r="K480">
        <v>94</v>
      </c>
      <c r="L480" t="s">
        <v>321</v>
      </c>
      <c r="M480">
        <v>2855</v>
      </c>
      <c r="N480">
        <v>5.4714707564562559</v>
      </c>
      <c r="O480">
        <v>9.4342378191649914</v>
      </c>
      <c r="P480">
        <v>6.1370121771469712</v>
      </c>
      <c r="Q480">
        <v>16.650214478373531</v>
      </c>
      <c r="R480">
        <v>8</v>
      </c>
      <c r="S480" t="s">
        <v>322</v>
      </c>
      <c r="T480">
        <v>2014</v>
      </c>
      <c r="U480" s="1">
        <v>45901.600802198707</v>
      </c>
      <c r="V480" t="s">
        <v>32</v>
      </c>
      <c r="W480" t="s">
        <v>33</v>
      </c>
      <c r="X480">
        <v>1.05996903954294</v>
      </c>
      <c r="Y480">
        <v>1.05996903954294</v>
      </c>
      <c r="Z480">
        <v>0.56576218083500862</v>
      </c>
      <c r="AA480">
        <v>2.9632224168126089</v>
      </c>
      <c r="AB480">
        <v>0.29740154246054268</v>
      </c>
    </row>
    <row r="481" spans="1:28" x14ac:dyDescent="0.25">
      <c r="A481">
        <v>20</v>
      </c>
      <c r="B481">
        <v>34</v>
      </c>
      <c r="C481">
        <v>10</v>
      </c>
      <c r="D481">
        <v>447</v>
      </c>
      <c r="E481">
        <v>112</v>
      </c>
      <c r="F481">
        <v>10</v>
      </c>
      <c r="G481">
        <v>7.7240686323493719</v>
      </c>
      <c r="H481" t="s">
        <v>343</v>
      </c>
      <c r="I481" t="s">
        <v>49</v>
      </c>
      <c r="J481">
        <v>0</v>
      </c>
      <c r="K481">
        <v>96</v>
      </c>
      <c r="L481" t="s">
        <v>325</v>
      </c>
      <c r="M481">
        <v>3052</v>
      </c>
      <c r="N481">
        <v>14.30894881114364</v>
      </c>
      <c r="O481">
        <v>7.7240686323493719</v>
      </c>
      <c r="P481">
        <v>13.275837710127229</v>
      </c>
      <c r="Q481">
        <v>29.501687869429588</v>
      </c>
      <c r="R481">
        <v>3</v>
      </c>
      <c r="S481" t="s">
        <v>322</v>
      </c>
      <c r="T481">
        <v>2014</v>
      </c>
      <c r="U481" s="1">
        <v>45901.600802198707</v>
      </c>
      <c r="V481" t="s">
        <v>32</v>
      </c>
      <c r="W481" t="s">
        <v>33</v>
      </c>
      <c r="X481">
        <v>1.2946544724005611</v>
      </c>
      <c r="Y481">
        <v>1.2946544724005611</v>
      </c>
      <c r="Z481">
        <v>2.2759313676506281</v>
      </c>
      <c r="AA481">
        <v>2.8309305373525548</v>
      </c>
      <c r="AB481">
        <v>0.22777397670755031</v>
      </c>
    </row>
    <row r="482" spans="1:28" x14ac:dyDescent="0.25">
      <c r="A482">
        <v>2</v>
      </c>
      <c r="B482">
        <v>32</v>
      </c>
      <c r="C482">
        <v>30</v>
      </c>
      <c r="D482">
        <v>227</v>
      </c>
      <c r="E482">
        <v>22</v>
      </c>
      <c r="F482">
        <v>28</v>
      </c>
      <c r="G482">
        <v>26.946827054023739</v>
      </c>
      <c r="H482" t="s">
        <v>299</v>
      </c>
      <c r="I482" t="s">
        <v>29</v>
      </c>
      <c r="J482">
        <v>0</v>
      </c>
      <c r="K482">
        <v>152</v>
      </c>
      <c r="L482" t="s">
        <v>323</v>
      </c>
      <c r="M482">
        <v>2654</v>
      </c>
      <c r="N482">
        <v>3.455627553164959</v>
      </c>
      <c r="O482">
        <v>28.46238404512405</v>
      </c>
      <c r="P482">
        <v>8.2266937186941504</v>
      </c>
      <c r="Q482">
        <v>34.542254894971848</v>
      </c>
      <c r="R482">
        <v>2</v>
      </c>
      <c r="S482" t="s">
        <v>322</v>
      </c>
      <c r="T482">
        <v>2015</v>
      </c>
      <c r="U482" s="1">
        <v>45901.600802198707</v>
      </c>
      <c r="V482" t="s">
        <v>32</v>
      </c>
      <c r="W482" t="s">
        <v>69</v>
      </c>
      <c r="X482">
        <v>1.0540227393614749</v>
      </c>
      <c r="Y482">
        <v>1.039083374968965</v>
      </c>
      <c r="Z482">
        <v>1.53761595487595</v>
      </c>
      <c r="AA482">
        <v>5.1544837980406939</v>
      </c>
      <c r="AB482">
        <v>0.96519011456713055</v>
      </c>
    </row>
    <row r="483" spans="1:28" x14ac:dyDescent="0.25">
      <c r="A483">
        <v>5</v>
      </c>
      <c r="B483">
        <v>31</v>
      </c>
      <c r="C483">
        <v>25</v>
      </c>
      <c r="D483">
        <v>318</v>
      </c>
      <c r="E483">
        <v>28</v>
      </c>
      <c r="F483">
        <v>22</v>
      </c>
      <c r="G483">
        <v>25.158653903752569</v>
      </c>
      <c r="H483" t="s">
        <v>105</v>
      </c>
      <c r="I483" t="s">
        <v>35</v>
      </c>
      <c r="J483">
        <v>0</v>
      </c>
      <c r="K483">
        <v>118</v>
      </c>
      <c r="L483" t="s">
        <v>326</v>
      </c>
      <c r="M483">
        <v>2476</v>
      </c>
      <c r="N483">
        <v>6.562241829931736</v>
      </c>
      <c r="O483">
        <v>28.18976067006588</v>
      </c>
      <c r="P483">
        <v>4.4308346267789602</v>
      </c>
      <c r="Q483">
        <v>33.502672214061022</v>
      </c>
      <c r="R483">
        <v>4</v>
      </c>
      <c r="S483" t="s">
        <v>322</v>
      </c>
      <c r="T483">
        <v>2015</v>
      </c>
      <c r="U483" s="1">
        <v>45901.600802198707</v>
      </c>
      <c r="V483" t="s">
        <v>32</v>
      </c>
      <c r="W483" t="s">
        <v>69</v>
      </c>
      <c r="X483">
        <v>0.8868468339480079</v>
      </c>
      <c r="Y483">
        <v>0.87445059994718422</v>
      </c>
      <c r="Z483">
        <v>-3.1897606700658798</v>
      </c>
      <c r="AA483">
        <v>4.2891760904684979</v>
      </c>
      <c r="AB483">
        <v>1.024668198831151</v>
      </c>
    </row>
    <row r="484" spans="1:28" x14ac:dyDescent="0.25">
      <c r="A484">
        <v>5</v>
      </c>
      <c r="B484">
        <v>31</v>
      </c>
      <c r="C484">
        <v>20</v>
      </c>
      <c r="D484">
        <v>224</v>
      </c>
      <c r="E484">
        <v>60</v>
      </c>
      <c r="F484">
        <v>15</v>
      </c>
      <c r="G484">
        <v>12.991725068539379</v>
      </c>
      <c r="H484" t="s">
        <v>327</v>
      </c>
      <c r="I484" t="s">
        <v>35</v>
      </c>
      <c r="J484">
        <v>0</v>
      </c>
      <c r="K484">
        <v>94</v>
      </c>
      <c r="L484" t="s">
        <v>323</v>
      </c>
      <c r="M484">
        <v>2347</v>
      </c>
      <c r="N484">
        <v>7.6829515472054482</v>
      </c>
      <c r="O484">
        <v>17.53838283196092</v>
      </c>
      <c r="P484">
        <v>12.631855897605419</v>
      </c>
      <c r="Q484">
        <v>28.629607167094939</v>
      </c>
      <c r="R484">
        <v>4</v>
      </c>
      <c r="S484" t="s">
        <v>322</v>
      </c>
      <c r="T484">
        <v>2015</v>
      </c>
      <c r="U484" s="1">
        <v>45901.600802198707</v>
      </c>
      <c r="V484" t="s">
        <v>32</v>
      </c>
      <c r="W484" t="s">
        <v>69</v>
      </c>
      <c r="X484">
        <v>1.140355994713103</v>
      </c>
      <c r="Y484">
        <v>1.154581083025213</v>
      </c>
      <c r="Z484">
        <v>2.461617168039083</v>
      </c>
      <c r="AA484">
        <v>3.6046016190881969</v>
      </c>
      <c r="AB484">
        <v>0.67254131013058482</v>
      </c>
    </row>
    <row r="485" spans="1:28" x14ac:dyDescent="0.25">
      <c r="A485">
        <v>2</v>
      </c>
      <c r="B485">
        <v>28</v>
      </c>
      <c r="C485">
        <v>17</v>
      </c>
      <c r="D485">
        <v>191</v>
      </c>
      <c r="E485">
        <v>28</v>
      </c>
      <c r="F485">
        <v>16</v>
      </c>
      <c r="G485">
        <v>11.634584099985659</v>
      </c>
      <c r="H485" t="s">
        <v>344</v>
      </c>
      <c r="I485" t="s">
        <v>29</v>
      </c>
      <c r="J485">
        <v>0</v>
      </c>
      <c r="K485">
        <v>64</v>
      </c>
      <c r="L485" t="s">
        <v>331</v>
      </c>
      <c r="M485">
        <v>2178</v>
      </c>
      <c r="N485">
        <v>4.0986672025173903</v>
      </c>
      <c r="O485">
        <v>12.392357052303851</v>
      </c>
      <c r="P485">
        <v>3.719830971211195</v>
      </c>
      <c r="Q485">
        <v>16.00658030807972</v>
      </c>
      <c r="R485">
        <v>6</v>
      </c>
      <c r="S485" t="s">
        <v>322</v>
      </c>
      <c r="T485">
        <v>2015</v>
      </c>
      <c r="U485" s="1">
        <v>45901.600802198707</v>
      </c>
      <c r="V485" t="s">
        <v>32</v>
      </c>
      <c r="W485" t="s">
        <v>69</v>
      </c>
      <c r="X485">
        <v>1.371813282029309</v>
      </c>
      <c r="Y485">
        <v>1.3752103094101771</v>
      </c>
      <c r="Z485">
        <v>4.6076429476961493</v>
      </c>
      <c r="AA485">
        <v>2.6446280991735538</v>
      </c>
      <c r="AB485">
        <v>0.5120808699299112</v>
      </c>
    </row>
    <row r="486" spans="1:28" x14ac:dyDescent="0.25">
      <c r="A486">
        <v>3</v>
      </c>
      <c r="B486">
        <v>34</v>
      </c>
      <c r="C486">
        <v>15</v>
      </c>
      <c r="D486">
        <v>137</v>
      </c>
      <c r="E486">
        <v>19</v>
      </c>
      <c r="F486">
        <v>12</v>
      </c>
      <c r="G486">
        <v>14.528269622474911</v>
      </c>
      <c r="H486" t="s">
        <v>345</v>
      </c>
      <c r="I486" t="s">
        <v>29</v>
      </c>
      <c r="J486">
        <v>0</v>
      </c>
      <c r="K486">
        <v>110</v>
      </c>
      <c r="L486" t="s">
        <v>339</v>
      </c>
      <c r="M486">
        <v>2878</v>
      </c>
      <c r="N486">
        <v>2.741228716447949</v>
      </c>
      <c r="O486">
        <v>17.559369552880529</v>
      </c>
      <c r="P486">
        <v>1.7960154926404359</v>
      </c>
      <c r="Q486">
        <v>17.817338537424799</v>
      </c>
      <c r="R486">
        <v>4</v>
      </c>
      <c r="S486" t="s">
        <v>322</v>
      </c>
      <c r="T486">
        <v>2015</v>
      </c>
      <c r="U486" s="1">
        <v>45901.600802198707</v>
      </c>
      <c r="V486" t="s">
        <v>32</v>
      </c>
      <c r="W486" t="s">
        <v>69</v>
      </c>
      <c r="X486">
        <v>0.85424479249252583</v>
      </c>
      <c r="Y486">
        <v>0.8259758602935251</v>
      </c>
      <c r="Z486">
        <v>-2.559369552880526</v>
      </c>
      <c r="AA486">
        <v>3.4398888116747739</v>
      </c>
      <c r="AB486">
        <v>0.5491116260456036</v>
      </c>
    </row>
    <row r="487" spans="1:28" x14ac:dyDescent="0.25">
      <c r="A487">
        <v>4</v>
      </c>
      <c r="B487">
        <v>32</v>
      </c>
      <c r="C487">
        <v>14</v>
      </c>
      <c r="D487">
        <v>11</v>
      </c>
      <c r="E487">
        <v>28</v>
      </c>
      <c r="F487">
        <v>12</v>
      </c>
      <c r="G487">
        <v>11.32483359193429</v>
      </c>
      <c r="H487" t="s">
        <v>346</v>
      </c>
      <c r="I487" t="s">
        <v>29</v>
      </c>
      <c r="J487">
        <v>1</v>
      </c>
      <c r="K487">
        <v>87</v>
      </c>
      <c r="L487" t="s">
        <v>347</v>
      </c>
      <c r="M487">
        <v>2475</v>
      </c>
      <c r="N487">
        <v>4.4791223127394924</v>
      </c>
      <c r="O487">
        <v>14.355865647550671</v>
      </c>
      <c r="P487">
        <v>3.997184710577129</v>
      </c>
      <c r="Q487">
        <v>14.726106539368629</v>
      </c>
      <c r="R487">
        <v>8</v>
      </c>
      <c r="S487" t="s">
        <v>322</v>
      </c>
      <c r="T487">
        <v>2015</v>
      </c>
      <c r="U487" s="1">
        <v>45901.600802198707</v>
      </c>
      <c r="V487" t="s">
        <v>32</v>
      </c>
      <c r="W487" t="s">
        <v>69</v>
      </c>
      <c r="X487">
        <v>0.97521113276708682</v>
      </c>
      <c r="Y487">
        <v>1.059618218897854</v>
      </c>
      <c r="Z487">
        <v>-0.35586564755067229</v>
      </c>
      <c r="AA487">
        <v>3.163636363636364</v>
      </c>
      <c r="AB487">
        <v>0.52203147809275174</v>
      </c>
    </row>
    <row r="488" spans="1:28" x14ac:dyDescent="0.25">
      <c r="A488">
        <v>2</v>
      </c>
      <c r="B488">
        <v>32</v>
      </c>
      <c r="C488">
        <v>14</v>
      </c>
      <c r="D488">
        <v>26</v>
      </c>
      <c r="E488">
        <v>21</v>
      </c>
      <c r="F488">
        <v>12</v>
      </c>
      <c r="G488">
        <v>8.2145614307373762</v>
      </c>
      <c r="H488" t="s">
        <v>348</v>
      </c>
      <c r="I488" t="s">
        <v>35</v>
      </c>
      <c r="J488">
        <v>0</v>
      </c>
      <c r="K488">
        <v>55</v>
      </c>
      <c r="L488" t="s">
        <v>349</v>
      </c>
      <c r="M488">
        <v>2546</v>
      </c>
      <c r="N488">
        <v>2.194584164768457</v>
      </c>
      <c r="O488">
        <v>9.7301184292882681</v>
      </c>
      <c r="P488">
        <v>3.7806320451200008</v>
      </c>
      <c r="Q488">
        <v>12.43634216487408</v>
      </c>
      <c r="R488">
        <v>2</v>
      </c>
      <c r="S488" t="s">
        <v>322</v>
      </c>
      <c r="T488">
        <v>2015</v>
      </c>
      <c r="U488" s="1">
        <v>45901.600802198707</v>
      </c>
      <c r="V488" t="s">
        <v>32</v>
      </c>
      <c r="W488" t="s">
        <v>69</v>
      </c>
      <c r="X488">
        <v>1.438831408039096</v>
      </c>
      <c r="Y488">
        <v>1.4608205320734731</v>
      </c>
      <c r="Z488">
        <v>4.2698815707117319</v>
      </c>
      <c r="AA488">
        <v>1.944226237234878</v>
      </c>
      <c r="AB488">
        <v>0.3439554825749977</v>
      </c>
    </row>
    <row r="489" spans="1:28" x14ac:dyDescent="0.25">
      <c r="A489">
        <v>3</v>
      </c>
      <c r="B489">
        <v>28</v>
      </c>
      <c r="C489">
        <v>14</v>
      </c>
      <c r="D489">
        <v>122</v>
      </c>
      <c r="E489">
        <v>30</v>
      </c>
      <c r="F489">
        <v>9</v>
      </c>
      <c r="G489">
        <v>6.7864904887974262</v>
      </c>
      <c r="H489" t="s">
        <v>350</v>
      </c>
      <c r="I489" t="s">
        <v>35</v>
      </c>
      <c r="J489">
        <v>0</v>
      </c>
      <c r="K489">
        <v>46</v>
      </c>
      <c r="L489" t="s">
        <v>329</v>
      </c>
      <c r="M489">
        <v>1740</v>
      </c>
      <c r="N489">
        <v>2.8119184821844101</v>
      </c>
      <c r="O489">
        <v>11.33315528556704</v>
      </c>
      <c r="P489">
        <v>2.9519035080447802</v>
      </c>
      <c r="Q489">
        <v>10.56326594948769</v>
      </c>
      <c r="R489">
        <v>3</v>
      </c>
      <c r="S489" t="s">
        <v>322</v>
      </c>
      <c r="T489">
        <v>2015</v>
      </c>
      <c r="U489" s="1">
        <v>45901.600802198707</v>
      </c>
      <c r="V489" t="s">
        <v>32</v>
      </c>
      <c r="W489" t="s">
        <v>69</v>
      </c>
      <c r="X489">
        <v>1.2353135245423861</v>
      </c>
      <c r="Y489">
        <v>1.326164092450502</v>
      </c>
      <c r="Z489">
        <v>2.666844714432957</v>
      </c>
      <c r="AA489">
        <v>2.3793103448275859</v>
      </c>
      <c r="AB489">
        <v>0.58619768718450227</v>
      </c>
    </row>
    <row r="490" spans="1:28" x14ac:dyDescent="0.25">
      <c r="A490">
        <v>10</v>
      </c>
      <c r="B490">
        <v>31</v>
      </c>
      <c r="C490">
        <v>13</v>
      </c>
      <c r="D490">
        <v>210</v>
      </c>
      <c r="E490">
        <v>57</v>
      </c>
      <c r="F490">
        <v>12</v>
      </c>
      <c r="G490">
        <v>10.1475926246494</v>
      </c>
      <c r="H490" t="s">
        <v>332</v>
      </c>
      <c r="I490" t="s">
        <v>29</v>
      </c>
      <c r="J490">
        <v>0</v>
      </c>
      <c r="K490">
        <v>70</v>
      </c>
      <c r="L490" t="s">
        <v>333</v>
      </c>
      <c r="M490">
        <v>2692</v>
      </c>
      <c r="N490">
        <v>5.6904774326831102</v>
      </c>
      <c r="O490">
        <v>10.90536963008344</v>
      </c>
      <c r="P490">
        <v>10.65218810737133</v>
      </c>
      <c r="Q490">
        <v>21.207763120532039</v>
      </c>
      <c r="R490">
        <v>2</v>
      </c>
      <c r="S490" t="s">
        <v>322</v>
      </c>
      <c r="T490">
        <v>2015</v>
      </c>
      <c r="U490" s="1">
        <v>45901.600802198707</v>
      </c>
      <c r="V490" t="s">
        <v>32</v>
      </c>
      <c r="W490" t="s">
        <v>69</v>
      </c>
      <c r="X490">
        <v>1.1920733034246109</v>
      </c>
      <c r="Y490">
        <v>1.1825464860356081</v>
      </c>
      <c r="Z490">
        <v>2.0946303699165578</v>
      </c>
      <c r="AA490">
        <v>2.3402674591381869</v>
      </c>
      <c r="AB490">
        <v>0.36459259535940192</v>
      </c>
    </row>
    <row r="491" spans="1:28" x14ac:dyDescent="0.25">
      <c r="A491">
        <v>3</v>
      </c>
      <c r="B491">
        <v>31</v>
      </c>
      <c r="C491">
        <v>13</v>
      </c>
      <c r="D491">
        <v>300</v>
      </c>
      <c r="E491">
        <v>41</v>
      </c>
      <c r="F491">
        <v>11</v>
      </c>
      <c r="G491">
        <v>9.6202793531119823</v>
      </c>
      <c r="H491" t="s">
        <v>351</v>
      </c>
      <c r="I491" t="s">
        <v>35</v>
      </c>
      <c r="J491">
        <v>1</v>
      </c>
      <c r="K491">
        <v>95</v>
      </c>
      <c r="L491" t="s">
        <v>352</v>
      </c>
      <c r="M491">
        <v>2447</v>
      </c>
      <c r="N491">
        <v>3.7529220255091782</v>
      </c>
      <c r="O491">
        <v>11.135832443833349</v>
      </c>
      <c r="P491">
        <v>7.9473356921225786</v>
      </c>
      <c r="Q491">
        <v>15.60365693084896</v>
      </c>
      <c r="R491">
        <v>8</v>
      </c>
      <c r="S491" t="s">
        <v>322</v>
      </c>
      <c r="T491">
        <v>2015</v>
      </c>
      <c r="U491" s="1">
        <v>45901.600802198707</v>
      </c>
      <c r="V491" t="s">
        <v>32</v>
      </c>
      <c r="W491" t="s">
        <v>69</v>
      </c>
      <c r="X491">
        <v>1.167402622621083</v>
      </c>
      <c r="Y491">
        <v>1.143417939983385</v>
      </c>
      <c r="Z491">
        <v>1.8641675561666491</v>
      </c>
      <c r="AA491">
        <v>3.494074376787903</v>
      </c>
      <c r="AB491">
        <v>0.40957291374948979</v>
      </c>
    </row>
    <row r="492" spans="1:28" x14ac:dyDescent="0.25">
      <c r="A492">
        <v>3</v>
      </c>
      <c r="B492">
        <v>26</v>
      </c>
      <c r="C492">
        <v>12</v>
      </c>
      <c r="D492">
        <v>319</v>
      </c>
      <c r="E492">
        <v>45</v>
      </c>
      <c r="F492">
        <v>11</v>
      </c>
      <c r="G492">
        <v>10.15116042457521</v>
      </c>
      <c r="H492" t="s">
        <v>353</v>
      </c>
      <c r="I492" t="s">
        <v>35</v>
      </c>
      <c r="J492">
        <v>0</v>
      </c>
      <c r="K492">
        <v>63</v>
      </c>
      <c r="L492" t="s">
        <v>326</v>
      </c>
      <c r="M492">
        <v>1930</v>
      </c>
      <c r="N492">
        <v>6.7843769714236259</v>
      </c>
      <c r="O492">
        <v>11.66670644842088</v>
      </c>
      <c r="P492">
        <v>7.452970689162612</v>
      </c>
      <c r="Q492">
        <v>21.491816200315949</v>
      </c>
      <c r="R492">
        <v>2</v>
      </c>
      <c r="S492" t="s">
        <v>322</v>
      </c>
      <c r="T492">
        <v>2015</v>
      </c>
      <c r="U492" s="1">
        <v>45901.600802198707</v>
      </c>
      <c r="V492" t="s">
        <v>32</v>
      </c>
      <c r="W492" t="s">
        <v>69</v>
      </c>
      <c r="X492">
        <v>1.0285679212940371</v>
      </c>
      <c r="Y492">
        <v>1.0836199547560901</v>
      </c>
      <c r="Z492">
        <v>0.33329355157911777</v>
      </c>
      <c r="AA492">
        <v>2.937823834196891</v>
      </c>
      <c r="AB492">
        <v>0.54404330588491157</v>
      </c>
    </row>
    <row r="493" spans="1:28" x14ac:dyDescent="0.25">
      <c r="A493">
        <v>3</v>
      </c>
      <c r="B493">
        <v>31</v>
      </c>
      <c r="C493">
        <v>12</v>
      </c>
      <c r="D493">
        <v>340</v>
      </c>
      <c r="E493">
        <v>26</v>
      </c>
      <c r="F493">
        <v>10</v>
      </c>
      <c r="G493">
        <v>10.0682452712208</v>
      </c>
      <c r="H493" t="s">
        <v>354</v>
      </c>
      <c r="I493" t="s">
        <v>29</v>
      </c>
      <c r="J493">
        <v>0</v>
      </c>
      <c r="K493">
        <v>72</v>
      </c>
      <c r="L493" t="s">
        <v>355</v>
      </c>
      <c r="M493">
        <v>2485</v>
      </c>
      <c r="N493">
        <v>3.978565307334065</v>
      </c>
      <c r="O493">
        <v>13.099355446174741</v>
      </c>
      <c r="P493">
        <v>2.7154664881527419</v>
      </c>
      <c r="Q493">
        <v>15.58321717381477</v>
      </c>
      <c r="R493">
        <v>2</v>
      </c>
      <c r="S493" t="s">
        <v>322</v>
      </c>
      <c r="T493">
        <v>2015</v>
      </c>
      <c r="U493" s="1">
        <v>45901.600802198707</v>
      </c>
      <c r="V493" t="s">
        <v>32</v>
      </c>
      <c r="W493" t="s">
        <v>69</v>
      </c>
      <c r="X493">
        <v>0.91607560763642204</v>
      </c>
      <c r="Y493">
        <v>0.99322173135612057</v>
      </c>
      <c r="Z493">
        <v>-1.099355446174741</v>
      </c>
      <c r="AA493">
        <v>2.6076458752515088</v>
      </c>
      <c r="AB493">
        <v>0.47442333607876319</v>
      </c>
    </row>
    <row r="494" spans="1:28" x14ac:dyDescent="0.25">
      <c r="A494">
        <v>1</v>
      </c>
      <c r="B494">
        <v>19</v>
      </c>
      <c r="C494">
        <v>12</v>
      </c>
      <c r="D494">
        <v>356</v>
      </c>
      <c r="E494">
        <v>17</v>
      </c>
      <c r="F494">
        <v>11</v>
      </c>
      <c r="G494">
        <v>7.0262861885130414</v>
      </c>
      <c r="H494" t="s">
        <v>320</v>
      </c>
      <c r="I494" t="s">
        <v>49</v>
      </c>
      <c r="J494">
        <v>1</v>
      </c>
      <c r="K494">
        <v>49</v>
      </c>
      <c r="L494" t="s">
        <v>321</v>
      </c>
      <c r="M494">
        <v>1658</v>
      </c>
      <c r="N494">
        <v>1.970931388437748</v>
      </c>
      <c r="O494">
        <v>7.7840628586709499</v>
      </c>
      <c r="P494">
        <v>1.2862596027553079</v>
      </c>
      <c r="Q494">
        <v>7.6841759122908124</v>
      </c>
      <c r="R494">
        <v>0</v>
      </c>
      <c r="S494" t="s">
        <v>322</v>
      </c>
      <c r="T494">
        <v>2015</v>
      </c>
      <c r="U494" s="1">
        <v>45901.600802198707</v>
      </c>
      <c r="V494" t="s">
        <v>32</v>
      </c>
      <c r="W494" t="s">
        <v>69</v>
      </c>
      <c r="X494">
        <v>1.5416113947015171</v>
      </c>
      <c r="Y494">
        <v>1.5655496666195301</v>
      </c>
      <c r="Z494">
        <v>4.2159371413290501</v>
      </c>
      <c r="AA494">
        <v>2.659831121833534</v>
      </c>
      <c r="AB494">
        <v>0.42253658460819388</v>
      </c>
    </row>
    <row r="495" spans="1:28" x14ac:dyDescent="0.25">
      <c r="A495">
        <v>1</v>
      </c>
      <c r="B495">
        <v>30</v>
      </c>
      <c r="C495">
        <v>12</v>
      </c>
      <c r="D495">
        <v>362</v>
      </c>
      <c r="E495">
        <v>20</v>
      </c>
      <c r="F495">
        <v>4</v>
      </c>
      <c r="G495">
        <v>6.3383677564561367</v>
      </c>
      <c r="H495" t="s">
        <v>356</v>
      </c>
      <c r="I495" t="s">
        <v>29</v>
      </c>
      <c r="J495">
        <v>0</v>
      </c>
      <c r="K495">
        <v>53</v>
      </c>
      <c r="L495" t="s">
        <v>357</v>
      </c>
      <c r="M495">
        <v>2015</v>
      </c>
      <c r="N495">
        <v>0.92994198389351357</v>
      </c>
      <c r="O495">
        <v>12.40050069615245</v>
      </c>
      <c r="P495">
        <v>2.373665034770966</v>
      </c>
      <c r="Q495">
        <v>6.7188149876892567</v>
      </c>
      <c r="R495">
        <v>4</v>
      </c>
      <c r="S495" t="s">
        <v>322</v>
      </c>
      <c r="T495">
        <v>2015</v>
      </c>
      <c r="U495" s="1">
        <v>45901.600802198707</v>
      </c>
      <c r="V495" t="s">
        <v>32</v>
      </c>
      <c r="W495" t="s">
        <v>69</v>
      </c>
      <c r="X495">
        <v>0.96770286087910029</v>
      </c>
      <c r="Y495">
        <v>0.63107729839842108</v>
      </c>
      <c r="Z495">
        <v>-0.40050069615244871</v>
      </c>
      <c r="AA495">
        <v>2.3672456575682381</v>
      </c>
      <c r="AB495">
        <v>0.55386851744601506</v>
      </c>
    </row>
    <row r="496" spans="1:28" x14ac:dyDescent="0.25">
      <c r="A496">
        <v>4</v>
      </c>
      <c r="B496">
        <v>34</v>
      </c>
      <c r="C496">
        <v>11</v>
      </c>
      <c r="D496">
        <v>45</v>
      </c>
      <c r="E496">
        <v>43</v>
      </c>
      <c r="F496">
        <v>10</v>
      </c>
      <c r="G496">
        <v>9.2784656919538957</v>
      </c>
      <c r="H496" t="s">
        <v>358</v>
      </c>
      <c r="I496" t="s">
        <v>35</v>
      </c>
      <c r="J496">
        <v>0</v>
      </c>
      <c r="K496">
        <v>64</v>
      </c>
      <c r="L496" t="s">
        <v>335</v>
      </c>
      <c r="M496">
        <v>2802</v>
      </c>
      <c r="N496">
        <v>7.1825675200670958</v>
      </c>
      <c r="O496">
        <v>10.036155764013531</v>
      </c>
      <c r="P496">
        <v>6.7659861370921126</v>
      </c>
      <c r="Q496">
        <v>21.00912499055266</v>
      </c>
      <c r="R496">
        <v>0</v>
      </c>
      <c r="S496" t="s">
        <v>322</v>
      </c>
      <c r="T496">
        <v>2015</v>
      </c>
      <c r="U496" s="1">
        <v>45901.600802198707</v>
      </c>
      <c r="V496" t="s">
        <v>32</v>
      </c>
      <c r="W496" t="s">
        <v>69</v>
      </c>
      <c r="X496">
        <v>1.096037193787138</v>
      </c>
      <c r="Y496">
        <v>1.077764398985902</v>
      </c>
      <c r="Z496">
        <v>0.96384423598647118</v>
      </c>
      <c r="AA496">
        <v>2.0556745182012852</v>
      </c>
      <c r="AB496">
        <v>0.32236046351221181</v>
      </c>
    </row>
    <row r="497" spans="1:28" x14ac:dyDescent="0.25">
      <c r="A497">
        <v>2</v>
      </c>
      <c r="B497">
        <v>32</v>
      </c>
      <c r="C497">
        <v>11</v>
      </c>
      <c r="D497">
        <v>119</v>
      </c>
      <c r="E497">
        <v>27</v>
      </c>
      <c r="F497">
        <v>11</v>
      </c>
      <c r="G497">
        <v>11.673038041219121</v>
      </c>
      <c r="H497" t="s">
        <v>338</v>
      </c>
      <c r="I497" t="s">
        <v>29</v>
      </c>
      <c r="J497">
        <v>0</v>
      </c>
      <c r="K497">
        <v>68</v>
      </c>
      <c r="L497" t="s">
        <v>329</v>
      </c>
      <c r="M497">
        <v>2327</v>
      </c>
      <c r="N497">
        <v>2.892122315242887</v>
      </c>
      <c r="O497">
        <v>12.430815016850829</v>
      </c>
      <c r="P497">
        <v>2.899740312248468</v>
      </c>
      <c r="Q497">
        <v>13.976044232025741</v>
      </c>
      <c r="R497">
        <v>2</v>
      </c>
      <c r="S497" t="s">
        <v>322</v>
      </c>
      <c r="T497">
        <v>2015</v>
      </c>
      <c r="U497" s="1">
        <v>45901.600802198707</v>
      </c>
      <c r="V497" t="s">
        <v>32</v>
      </c>
      <c r="W497" t="s">
        <v>69</v>
      </c>
      <c r="X497">
        <v>0.88489773076735034</v>
      </c>
      <c r="Y497">
        <v>0.94234251281949699</v>
      </c>
      <c r="Z497">
        <v>-1.4308150168508289</v>
      </c>
      <c r="AA497">
        <v>2.6299957026214011</v>
      </c>
      <c r="AB497">
        <v>0.48077926579998909</v>
      </c>
    </row>
    <row r="498" spans="1:28" x14ac:dyDescent="0.25">
      <c r="A498">
        <v>15</v>
      </c>
      <c r="B498">
        <v>31</v>
      </c>
      <c r="C498">
        <v>11</v>
      </c>
      <c r="D498">
        <v>317</v>
      </c>
      <c r="E498">
        <v>83</v>
      </c>
      <c r="F498">
        <v>11</v>
      </c>
      <c r="G498">
        <v>11.49496296048164</v>
      </c>
      <c r="H498" t="s">
        <v>359</v>
      </c>
      <c r="I498" t="s">
        <v>35</v>
      </c>
      <c r="J498">
        <v>0</v>
      </c>
      <c r="K498">
        <v>81</v>
      </c>
      <c r="L498" t="s">
        <v>326</v>
      </c>
      <c r="M498">
        <v>2578</v>
      </c>
      <c r="N498">
        <v>15.8819385189563</v>
      </c>
      <c r="O498">
        <v>11.49496296048164</v>
      </c>
      <c r="P498">
        <v>14.73181593418121</v>
      </c>
      <c r="Q498">
        <v>36.198573464527733</v>
      </c>
      <c r="R498">
        <v>5</v>
      </c>
      <c r="S498" t="s">
        <v>322</v>
      </c>
      <c r="T498">
        <v>2015</v>
      </c>
      <c r="U498" s="1">
        <v>45901.600802198707</v>
      </c>
      <c r="V498" t="s">
        <v>32</v>
      </c>
      <c r="W498" t="s">
        <v>69</v>
      </c>
      <c r="X498">
        <v>0.95694088252539222</v>
      </c>
      <c r="Y498">
        <v>0.95694088252539222</v>
      </c>
      <c r="Z498">
        <v>-0.49496296048164368</v>
      </c>
      <c r="AA498">
        <v>2.8277734678045001</v>
      </c>
      <c r="AB498">
        <v>0.40129816386475881</v>
      </c>
    </row>
    <row r="499" spans="1:28" x14ac:dyDescent="0.25">
      <c r="A499">
        <v>4</v>
      </c>
      <c r="B499">
        <v>26</v>
      </c>
      <c r="C499">
        <v>10</v>
      </c>
      <c r="D499">
        <v>29</v>
      </c>
      <c r="E499">
        <v>22</v>
      </c>
      <c r="F499">
        <v>10</v>
      </c>
      <c r="G499">
        <v>10.389067154377701</v>
      </c>
      <c r="H499" t="s">
        <v>360</v>
      </c>
      <c r="I499" t="s">
        <v>29</v>
      </c>
      <c r="J499">
        <v>1</v>
      </c>
      <c r="K499">
        <v>62</v>
      </c>
      <c r="L499" t="s">
        <v>349</v>
      </c>
      <c r="M499">
        <v>2099</v>
      </c>
      <c r="N499">
        <v>2.2429361026734118</v>
      </c>
      <c r="O499">
        <v>10.389067154377701</v>
      </c>
      <c r="P499">
        <v>1.901871874928474</v>
      </c>
      <c r="Q499">
        <v>12.158429134637119</v>
      </c>
      <c r="R499">
        <v>5</v>
      </c>
      <c r="S499" t="s">
        <v>322</v>
      </c>
      <c r="T499">
        <v>2015</v>
      </c>
      <c r="U499" s="1">
        <v>45901.600802198707</v>
      </c>
      <c r="V499" t="s">
        <v>32</v>
      </c>
      <c r="W499" t="s">
        <v>69</v>
      </c>
      <c r="X499">
        <v>0.96255032828296261</v>
      </c>
      <c r="Y499">
        <v>0.96255032828296261</v>
      </c>
      <c r="Z499">
        <v>-0.38906715437770067</v>
      </c>
      <c r="AA499">
        <v>2.658408766079086</v>
      </c>
      <c r="AB499">
        <v>0.44545785797712872</v>
      </c>
    </row>
    <row r="500" spans="1:28" x14ac:dyDescent="0.25">
      <c r="A500">
        <v>2</v>
      </c>
      <c r="B500">
        <v>32</v>
      </c>
      <c r="C500">
        <v>31</v>
      </c>
      <c r="D500">
        <v>318</v>
      </c>
      <c r="E500">
        <v>26</v>
      </c>
      <c r="F500">
        <v>29</v>
      </c>
      <c r="G500">
        <v>28.1138891465962</v>
      </c>
      <c r="H500" t="s">
        <v>105</v>
      </c>
      <c r="I500" t="s">
        <v>29</v>
      </c>
      <c r="J500">
        <v>0</v>
      </c>
      <c r="K500">
        <v>116</v>
      </c>
      <c r="L500" t="s">
        <v>326</v>
      </c>
      <c r="M500">
        <v>2785</v>
      </c>
      <c r="N500">
        <v>4.5015602223575124</v>
      </c>
      <c r="O500">
        <v>31.144994247704741</v>
      </c>
      <c r="P500">
        <v>3.3518195729702711</v>
      </c>
      <c r="Q500">
        <v>32.586529176682227</v>
      </c>
      <c r="R500">
        <v>3</v>
      </c>
      <c r="S500" t="s">
        <v>322</v>
      </c>
      <c r="T500">
        <v>2016</v>
      </c>
      <c r="U500" s="1">
        <v>45901.600802198707</v>
      </c>
      <c r="V500" t="s">
        <v>32</v>
      </c>
      <c r="W500" t="s">
        <v>84</v>
      </c>
      <c r="X500">
        <v>0.99534454087383784</v>
      </c>
      <c r="Y500">
        <v>1.0315186151863689</v>
      </c>
      <c r="Z500">
        <v>-0.14499424770474431</v>
      </c>
      <c r="AA500">
        <v>3.748653500897666</v>
      </c>
      <c r="AB500">
        <v>1.0064809631215179</v>
      </c>
    </row>
    <row r="501" spans="1:28" x14ac:dyDescent="0.25">
      <c r="A501">
        <v>5</v>
      </c>
      <c r="B501">
        <v>33</v>
      </c>
      <c r="C501">
        <v>30</v>
      </c>
      <c r="D501">
        <v>227</v>
      </c>
      <c r="E501">
        <v>30</v>
      </c>
      <c r="F501">
        <v>25</v>
      </c>
      <c r="G501">
        <v>26.309114795178171</v>
      </c>
      <c r="H501" t="s">
        <v>299</v>
      </c>
      <c r="I501" t="s">
        <v>29</v>
      </c>
      <c r="J501">
        <v>0</v>
      </c>
      <c r="K501">
        <v>143</v>
      </c>
      <c r="L501" t="s">
        <v>323</v>
      </c>
      <c r="M501">
        <v>2781</v>
      </c>
      <c r="N501">
        <v>5.5505367200821638</v>
      </c>
      <c r="O501">
        <v>30.09775198623538</v>
      </c>
      <c r="P501">
        <v>7.8912881258875132</v>
      </c>
      <c r="Q501">
        <v>33.587356753647327</v>
      </c>
      <c r="R501">
        <v>5</v>
      </c>
      <c r="S501" t="s">
        <v>322</v>
      </c>
      <c r="T501">
        <v>2016</v>
      </c>
      <c r="U501" s="1">
        <v>45901.600802198707</v>
      </c>
      <c r="V501" t="s">
        <v>32</v>
      </c>
      <c r="W501" t="s">
        <v>84</v>
      </c>
      <c r="X501">
        <v>0.99675218314377478</v>
      </c>
      <c r="Y501">
        <v>0.95024101702509201</v>
      </c>
      <c r="Z501">
        <v>-9.7751986235380173E-2</v>
      </c>
      <c r="AA501">
        <v>4.6278317152103563</v>
      </c>
      <c r="AB501">
        <v>0.97403728110794108</v>
      </c>
    </row>
    <row r="502" spans="1:28" x14ac:dyDescent="0.25">
      <c r="A502">
        <v>2</v>
      </c>
      <c r="B502">
        <v>34</v>
      </c>
      <c r="C502">
        <v>25</v>
      </c>
      <c r="D502">
        <v>137</v>
      </c>
      <c r="E502">
        <v>19</v>
      </c>
      <c r="F502">
        <v>22</v>
      </c>
      <c r="G502">
        <v>17.427740216255192</v>
      </c>
      <c r="H502" t="s">
        <v>345</v>
      </c>
      <c r="I502" t="s">
        <v>32</v>
      </c>
      <c r="J502">
        <v>0</v>
      </c>
      <c r="K502">
        <v>101</v>
      </c>
      <c r="L502" t="s">
        <v>339</v>
      </c>
      <c r="M502">
        <v>2983</v>
      </c>
      <c r="N502">
        <v>1.8527978155761959</v>
      </c>
      <c r="O502">
        <v>20.45860643684864</v>
      </c>
      <c r="P502">
        <v>4.1387888453900814</v>
      </c>
      <c r="Q502">
        <v>18.945156585425138</v>
      </c>
      <c r="R502">
        <v>3</v>
      </c>
      <c r="S502" t="s">
        <v>322</v>
      </c>
      <c r="T502">
        <v>2016</v>
      </c>
      <c r="U502" s="1">
        <v>45901.600802198707</v>
      </c>
      <c r="V502" t="s">
        <v>32</v>
      </c>
      <c r="W502" t="s">
        <v>84</v>
      </c>
      <c r="X502">
        <v>1.221979614162366</v>
      </c>
      <c r="Y502">
        <v>1.26235528685929</v>
      </c>
      <c r="Z502">
        <v>4.5413935631513596</v>
      </c>
      <c r="AA502">
        <v>3.0472678511565539</v>
      </c>
      <c r="AB502">
        <v>0.61725597697498413</v>
      </c>
    </row>
    <row r="503" spans="1:28" x14ac:dyDescent="0.25">
      <c r="A503">
        <v>5</v>
      </c>
      <c r="B503">
        <v>31</v>
      </c>
      <c r="C503">
        <v>21</v>
      </c>
      <c r="D503">
        <v>65</v>
      </c>
      <c r="E503">
        <v>31</v>
      </c>
      <c r="F503">
        <v>19</v>
      </c>
      <c r="G503">
        <v>13.01546153798699</v>
      </c>
      <c r="H503" t="s">
        <v>361</v>
      </c>
      <c r="I503" t="s">
        <v>29</v>
      </c>
      <c r="J503">
        <v>0</v>
      </c>
      <c r="K503">
        <v>74</v>
      </c>
      <c r="L503" t="s">
        <v>362</v>
      </c>
      <c r="M503">
        <v>2450</v>
      </c>
      <c r="N503">
        <v>3.463492389768362</v>
      </c>
      <c r="O503">
        <v>14.531015504151579</v>
      </c>
      <c r="P503">
        <v>4.1276027783751488</v>
      </c>
      <c r="Q503">
        <v>18.19453131780028</v>
      </c>
      <c r="R503">
        <v>4</v>
      </c>
      <c r="S503" t="s">
        <v>322</v>
      </c>
      <c r="T503">
        <v>2016</v>
      </c>
      <c r="U503" s="1">
        <v>45901.600802198707</v>
      </c>
      <c r="V503" t="s">
        <v>32</v>
      </c>
      <c r="W503" t="s">
        <v>84</v>
      </c>
      <c r="X503">
        <v>1.445184611770608</v>
      </c>
      <c r="Y503">
        <v>1.4598022470848619</v>
      </c>
      <c r="Z503">
        <v>6.4689844958484164</v>
      </c>
      <c r="AA503">
        <v>2.7183673469387761</v>
      </c>
      <c r="AB503">
        <v>0.53379240627495617</v>
      </c>
    </row>
    <row r="504" spans="1:28" x14ac:dyDescent="0.25">
      <c r="A504">
        <v>1</v>
      </c>
      <c r="B504">
        <v>33</v>
      </c>
      <c r="C504">
        <v>16</v>
      </c>
      <c r="D504">
        <v>3887</v>
      </c>
      <c r="E504">
        <v>38</v>
      </c>
      <c r="F504">
        <v>14</v>
      </c>
      <c r="G504">
        <v>15.97960123792291</v>
      </c>
      <c r="H504" t="s">
        <v>363</v>
      </c>
      <c r="I504" t="s">
        <v>29</v>
      </c>
      <c r="J504">
        <v>0</v>
      </c>
      <c r="K504">
        <v>84</v>
      </c>
      <c r="L504" t="s">
        <v>325</v>
      </c>
      <c r="M504">
        <v>2858</v>
      </c>
      <c r="N504">
        <v>3.4589854087680578</v>
      </c>
      <c r="O504">
        <v>17.495149243623018</v>
      </c>
      <c r="P504">
        <v>4.0988634442910552</v>
      </c>
      <c r="Q504">
        <v>19.869859222322699</v>
      </c>
      <c r="R504">
        <v>4</v>
      </c>
      <c r="S504" t="s">
        <v>322</v>
      </c>
      <c r="T504">
        <v>2016</v>
      </c>
      <c r="U504" s="1">
        <v>45901.600802198707</v>
      </c>
      <c r="V504" t="s">
        <v>32</v>
      </c>
      <c r="W504" t="s">
        <v>84</v>
      </c>
      <c r="X504">
        <v>0.91453921182364306</v>
      </c>
      <c r="Y504">
        <v>0.87611698136591143</v>
      </c>
      <c r="Z504">
        <v>-1.495149243623018</v>
      </c>
      <c r="AA504">
        <v>2.64520643806858</v>
      </c>
      <c r="AB504">
        <v>0.55093192159764581</v>
      </c>
    </row>
    <row r="505" spans="1:28" x14ac:dyDescent="0.25">
      <c r="A505">
        <v>7</v>
      </c>
      <c r="B505">
        <v>23</v>
      </c>
      <c r="C505">
        <v>15</v>
      </c>
      <c r="D505">
        <v>155</v>
      </c>
      <c r="E505">
        <v>49</v>
      </c>
      <c r="F505">
        <v>11</v>
      </c>
      <c r="G505">
        <v>5.4640186950564376</v>
      </c>
      <c r="H505" t="s">
        <v>336</v>
      </c>
      <c r="I505" t="s">
        <v>49</v>
      </c>
      <c r="J505">
        <v>0</v>
      </c>
      <c r="K505">
        <v>41</v>
      </c>
      <c r="L505" t="s">
        <v>329</v>
      </c>
      <c r="M505">
        <v>2049</v>
      </c>
      <c r="N505">
        <v>5.5252327714115381</v>
      </c>
      <c r="O505">
        <v>8.4951299838721752</v>
      </c>
      <c r="P505">
        <v>5.6370041184127331</v>
      </c>
      <c r="Q505">
        <v>14.92626778036356</v>
      </c>
      <c r="R505">
        <v>1</v>
      </c>
      <c r="S505" t="s">
        <v>322</v>
      </c>
      <c r="T505">
        <v>2016</v>
      </c>
      <c r="U505" s="1">
        <v>45901.600802198707</v>
      </c>
      <c r="V505" t="s">
        <v>32</v>
      </c>
      <c r="W505" t="s">
        <v>84</v>
      </c>
      <c r="X505">
        <v>1.7657175379867269</v>
      </c>
      <c r="Y505">
        <v>2.0131702715351669</v>
      </c>
      <c r="Z505">
        <v>6.5048700161278248</v>
      </c>
      <c r="AA505">
        <v>1.8008784773060029</v>
      </c>
      <c r="AB505">
        <v>0.37313894511883638</v>
      </c>
    </row>
    <row r="506" spans="1:28" x14ac:dyDescent="0.25">
      <c r="A506">
        <v>8</v>
      </c>
      <c r="B506">
        <v>34</v>
      </c>
      <c r="C506">
        <v>15</v>
      </c>
      <c r="D506">
        <v>956</v>
      </c>
      <c r="E506">
        <v>35</v>
      </c>
      <c r="F506">
        <v>10</v>
      </c>
      <c r="G506">
        <v>10.44415001943708</v>
      </c>
      <c r="H506" t="s">
        <v>364</v>
      </c>
      <c r="I506" t="s">
        <v>35</v>
      </c>
      <c r="J506">
        <v>0</v>
      </c>
      <c r="K506">
        <v>99</v>
      </c>
      <c r="L506" t="s">
        <v>365</v>
      </c>
      <c r="M506">
        <v>2384</v>
      </c>
      <c r="N506">
        <v>6.2776151336729527</v>
      </c>
      <c r="O506">
        <v>14.232868876308199</v>
      </c>
      <c r="P506">
        <v>3.718131709843874</v>
      </c>
      <c r="Q506">
        <v>17.646828174591061</v>
      </c>
      <c r="R506">
        <v>1</v>
      </c>
      <c r="S506" t="s">
        <v>322</v>
      </c>
      <c r="T506">
        <v>2016</v>
      </c>
      <c r="U506" s="1">
        <v>45901.600802198707</v>
      </c>
      <c r="V506" t="s">
        <v>32</v>
      </c>
      <c r="W506" t="s">
        <v>84</v>
      </c>
      <c r="X506">
        <v>1.053898559057812</v>
      </c>
      <c r="Y506">
        <v>0.95747379934121102</v>
      </c>
      <c r="Z506">
        <v>0.76713112369179548</v>
      </c>
      <c r="AA506">
        <v>3.73741610738255</v>
      </c>
      <c r="AB506">
        <v>0.53731468073311173</v>
      </c>
    </row>
    <row r="507" spans="1:28" x14ac:dyDescent="0.25">
      <c r="A507">
        <v>9</v>
      </c>
      <c r="B507">
        <v>26</v>
      </c>
      <c r="C507">
        <v>13</v>
      </c>
      <c r="D507">
        <v>392</v>
      </c>
      <c r="E507">
        <v>49</v>
      </c>
      <c r="F507">
        <v>13</v>
      </c>
      <c r="G507">
        <v>6.103043120354414</v>
      </c>
      <c r="H507" t="s">
        <v>366</v>
      </c>
      <c r="I507" t="s">
        <v>35</v>
      </c>
      <c r="J507">
        <v>0</v>
      </c>
      <c r="K507">
        <v>83</v>
      </c>
      <c r="L507" t="s">
        <v>323</v>
      </c>
      <c r="M507">
        <v>1829</v>
      </c>
      <c r="N507">
        <v>6.7909673266112804</v>
      </c>
      <c r="O507">
        <v>6.103043120354414</v>
      </c>
      <c r="P507">
        <v>8.5441362354904413</v>
      </c>
      <c r="Q507">
        <v>18.69633474946022</v>
      </c>
      <c r="R507">
        <v>0</v>
      </c>
      <c r="S507" t="s">
        <v>322</v>
      </c>
      <c r="T507">
        <v>2016</v>
      </c>
      <c r="U507" s="1">
        <v>45901.600802198707</v>
      </c>
      <c r="V507" t="s">
        <v>32</v>
      </c>
      <c r="W507" t="s">
        <v>84</v>
      </c>
      <c r="X507">
        <v>2.1300849008658269</v>
      </c>
      <c r="Y507">
        <v>2.1300849008658269</v>
      </c>
      <c r="Z507">
        <v>6.896956879645586</v>
      </c>
      <c r="AA507">
        <v>4.0841990158556589</v>
      </c>
      <c r="AB507">
        <v>0.30031376754067651</v>
      </c>
    </row>
    <row r="508" spans="1:28" x14ac:dyDescent="0.25">
      <c r="A508">
        <v>4</v>
      </c>
      <c r="B508">
        <v>32</v>
      </c>
      <c r="C508">
        <v>12</v>
      </c>
      <c r="D508">
        <v>29</v>
      </c>
      <c r="E508">
        <v>19</v>
      </c>
      <c r="F508">
        <v>9</v>
      </c>
      <c r="G508">
        <v>11.344849742949011</v>
      </c>
      <c r="H508" t="s">
        <v>360</v>
      </c>
      <c r="I508" t="s">
        <v>32</v>
      </c>
      <c r="J508">
        <v>1</v>
      </c>
      <c r="K508">
        <v>72</v>
      </c>
      <c r="L508" t="s">
        <v>349</v>
      </c>
      <c r="M508">
        <v>2732</v>
      </c>
      <c r="N508">
        <v>1.8481715666130181</v>
      </c>
      <c r="O508">
        <v>13.618097253143789</v>
      </c>
      <c r="P508">
        <v>3.9868015870451932</v>
      </c>
      <c r="Q508">
        <v>14.972129806876181</v>
      </c>
      <c r="R508">
        <v>7</v>
      </c>
      <c r="S508" t="s">
        <v>322</v>
      </c>
      <c r="T508">
        <v>2016</v>
      </c>
      <c r="U508" s="1">
        <v>45901.600802198707</v>
      </c>
      <c r="V508" t="s">
        <v>32</v>
      </c>
      <c r="W508" t="s">
        <v>84</v>
      </c>
      <c r="X508">
        <v>0.88118037174611574</v>
      </c>
      <c r="Y508">
        <v>0.79331152055086795</v>
      </c>
      <c r="Z508">
        <v>-1.6180972531437869</v>
      </c>
      <c r="AA508">
        <v>2.371888726207906</v>
      </c>
      <c r="AB508">
        <v>0.44861960204353618</v>
      </c>
    </row>
    <row r="509" spans="1:28" x14ac:dyDescent="0.25">
      <c r="A509">
        <v>2</v>
      </c>
      <c r="B509">
        <v>31</v>
      </c>
      <c r="C509">
        <v>11</v>
      </c>
      <c r="D509">
        <v>11</v>
      </c>
      <c r="E509">
        <v>17</v>
      </c>
      <c r="F509">
        <v>11</v>
      </c>
      <c r="G509">
        <v>12.228018639609219</v>
      </c>
      <c r="H509" t="s">
        <v>346</v>
      </c>
      <c r="I509" t="s">
        <v>29</v>
      </c>
      <c r="J509">
        <v>1</v>
      </c>
      <c r="K509">
        <v>66</v>
      </c>
      <c r="L509" t="s">
        <v>365</v>
      </c>
      <c r="M509">
        <v>2608</v>
      </c>
      <c r="N509">
        <v>2.0659215543419118</v>
      </c>
      <c r="O509">
        <v>12.228018639609219</v>
      </c>
      <c r="P509">
        <v>3.6682797810062771</v>
      </c>
      <c r="Q509">
        <v>13.068853184580799</v>
      </c>
      <c r="R509">
        <v>3</v>
      </c>
      <c r="S509" t="s">
        <v>322</v>
      </c>
      <c r="T509">
        <v>2016</v>
      </c>
      <c r="U509" s="1">
        <v>45901.600802198707</v>
      </c>
      <c r="V509" t="s">
        <v>32</v>
      </c>
      <c r="W509" t="s">
        <v>84</v>
      </c>
      <c r="X509">
        <v>0.89957337522929537</v>
      </c>
      <c r="Y509">
        <v>0.89957337522929537</v>
      </c>
      <c r="Z509">
        <v>-1.2280186396092181</v>
      </c>
      <c r="AA509">
        <v>2.2776073619631898</v>
      </c>
      <c r="AB509">
        <v>0.42197917084541009</v>
      </c>
    </row>
    <row r="510" spans="1:28" x14ac:dyDescent="0.25">
      <c r="A510">
        <v>3</v>
      </c>
      <c r="B510">
        <v>26</v>
      </c>
      <c r="C510">
        <v>11</v>
      </c>
      <c r="D510">
        <v>191</v>
      </c>
      <c r="E510">
        <v>22</v>
      </c>
      <c r="F510">
        <v>11</v>
      </c>
      <c r="G510">
        <v>10.25717680901289</v>
      </c>
      <c r="H510" t="s">
        <v>344</v>
      </c>
      <c r="I510" t="s">
        <v>29</v>
      </c>
      <c r="J510">
        <v>0</v>
      </c>
      <c r="K510">
        <v>52</v>
      </c>
      <c r="L510" t="s">
        <v>331</v>
      </c>
      <c r="M510">
        <v>1812</v>
      </c>
      <c r="N510">
        <v>2.6523318011313681</v>
      </c>
      <c r="O510">
        <v>11.772490762174129</v>
      </c>
      <c r="P510">
        <v>4.1984222233295441</v>
      </c>
      <c r="Q510">
        <v>13.062140602618459</v>
      </c>
      <c r="R510">
        <v>1</v>
      </c>
      <c r="S510" t="s">
        <v>322</v>
      </c>
      <c r="T510">
        <v>2016</v>
      </c>
      <c r="U510" s="1">
        <v>45901.600802198707</v>
      </c>
      <c r="V510" t="s">
        <v>32</v>
      </c>
      <c r="W510" t="s">
        <v>84</v>
      </c>
      <c r="X510">
        <v>0.93438170581061752</v>
      </c>
      <c r="Y510">
        <v>1.072419848542963</v>
      </c>
      <c r="Z510">
        <v>-0.77249076217412949</v>
      </c>
      <c r="AA510">
        <v>2.5827814569536418</v>
      </c>
      <c r="AB510">
        <v>0.58472636235964215</v>
      </c>
    </row>
    <row r="511" spans="1:28" x14ac:dyDescent="0.25">
      <c r="A511">
        <v>3</v>
      </c>
      <c r="B511">
        <v>30</v>
      </c>
      <c r="C511">
        <v>11</v>
      </c>
      <c r="D511">
        <v>208</v>
      </c>
      <c r="E511">
        <v>38</v>
      </c>
      <c r="F511">
        <v>11</v>
      </c>
      <c r="G511">
        <v>8.3344738185405731</v>
      </c>
      <c r="H511" t="s">
        <v>367</v>
      </c>
      <c r="I511" t="s">
        <v>35</v>
      </c>
      <c r="J511">
        <v>0</v>
      </c>
      <c r="K511">
        <v>68</v>
      </c>
      <c r="L511" t="s">
        <v>333</v>
      </c>
      <c r="M511">
        <v>2597</v>
      </c>
      <c r="N511">
        <v>2.9696911005303259</v>
      </c>
      <c r="O511">
        <v>9.0922527611255646</v>
      </c>
      <c r="P511">
        <v>8.2207880895584822</v>
      </c>
      <c r="Q511">
        <v>17.722906142473221</v>
      </c>
      <c r="R511">
        <v>8</v>
      </c>
      <c r="S511" t="s">
        <v>322</v>
      </c>
      <c r="T511">
        <v>2016</v>
      </c>
      <c r="U511" s="1">
        <v>45901.600802198707</v>
      </c>
      <c r="V511" t="s">
        <v>32</v>
      </c>
      <c r="W511" t="s">
        <v>84</v>
      </c>
      <c r="X511">
        <v>1.2098211839238691</v>
      </c>
      <c r="Y511">
        <v>1.3198193718636191</v>
      </c>
      <c r="Z511">
        <v>1.907747238874435</v>
      </c>
      <c r="AA511">
        <v>2.3565652676164799</v>
      </c>
      <c r="AB511">
        <v>0.31509539795968461</v>
      </c>
    </row>
    <row r="512" spans="1:28" x14ac:dyDescent="0.25">
      <c r="A512">
        <v>2</v>
      </c>
      <c r="B512">
        <v>34</v>
      </c>
      <c r="C512">
        <v>11</v>
      </c>
      <c r="D512">
        <v>306</v>
      </c>
      <c r="E512">
        <v>17</v>
      </c>
      <c r="F512">
        <v>8</v>
      </c>
      <c r="G512">
        <v>8.5452654669061303</v>
      </c>
      <c r="H512" t="s">
        <v>368</v>
      </c>
      <c r="I512" t="s">
        <v>29</v>
      </c>
      <c r="J512">
        <v>0</v>
      </c>
      <c r="K512">
        <v>78</v>
      </c>
      <c r="L512" t="s">
        <v>369</v>
      </c>
      <c r="M512">
        <v>2440</v>
      </c>
      <c r="N512">
        <v>1.729306485503912</v>
      </c>
      <c r="O512">
        <v>10.81859162542969</v>
      </c>
      <c r="P512">
        <v>1.348601709119976</v>
      </c>
      <c r="Q512">
        <v>10.00785980932414</v>
      </c>
      <c r="R512">
        <v>4</v>
      </c>
      <c r="S512" t="s">
        <v>322</v>
      </c>
      <c r="T512">
        <v>2016</v>
      </c>
      <c r="U512" s="1">
        <v>45901.600802198707</v>
      </c>
      <c r="V512" t="s">
        <v>32</v>
      </c>
      <c r="W512" t="s">
        <v>84</v>
      </c>
      <c r="X512">
        <v>1.0167682061446801</v>
      </c>
      <c r="Y512">
        <v>0.93619092712592489</v>
      </c>
      <c r="Z512">
        <v>0.18140837457031009</v>
      </c>
      <c r="AA512">
        <v>2.877049180327869</v>
      </c>
      <c r="AB512">
        <v>0.39904641241339017</v>
      </c>
    </row>
    <row r="513" spans="1:28" x14ac:dyDescent="0.25">
      <c r="A513">
        <v>1</v>
      </c>
      <c r="B513">
        <v>27</v>
      </c>
      <c r="C513">
        <v>11</v>
      </c>
      <c r="D513">
        <v>993</v>
      </c>
      <c r="E513">
        <v>31</v>
      </c>
      <c r="F513">
        <v>10</v>
      </c>
      <c r="G513">
        <v>4.9513422762975097</v>
      </c>
      <c r="H513" t="s">
        <v>370</v>
      </c>
      <c r="I513" t="s">
        <v>35</v>
      </c>
      <c r="J513">
        <v>0</v>
      </c>
      <c r="K513">
        <v>62</v>
      </c>
      <c r="L513" t="s">
        <v>329</v>
      </c>
      <c r="M513">
        <v>1969</v>
      </c>
      <c r="N513">
        <v>3.1456734165549278</v>
      </c>
      <c r="O513">
        <v>5.709119375795126</v>
      </c>
      <c r="P513">
        <v>2.0797090902924542</v>
      </c>
      <c r="Q513">
        <v>8.5740197766572237</v>
      </c>
      <c r="R513">
        <v>1</v>
      </c>
      <c r="S513" t="s">
        <v>322</v>
      </c>
      <c r="T513">
        <v>2016</v>
      </c>
      <c r="U513" s="1">
        <v>45901.600802198707</v>
      </c>
      <c r="V513" t="s">
        <v>32</v>
      </c>
      <c r="W513" t="s">
        <v>84</v>
      </c>
      <c r="X513">
        <v>1.9267419852239469</v>
      </c>
      <c r="Y513">
        <v>2.0196543567328882</v>
      </c>
      <c r="Z513">
        <v>5.290880624204874</v>
      </c>
      <c r="AA513">
        <v>2.833925850685628</v>
      </c>
      <c r="AB513">
        <v>0.26095517715670968</v>
      </c>
    </row>
    <row r="514" spans="1:28" x14ac:dyDescent="0.25">
      <c r="A514">
        <v>4</v>
      </c>
      <c r="B514">
        <v>33</v>
      </c>
      <c r="C514">
        <v>10</v>
      </c>
      <c r="D514">
        <v>4248</v>
      </c>
      <c r="E514">
        <v>16</v>
      </c>
      <c r="F514">
        <v>8</v>
      </c>
      <c r="G514">
        <v>7.7254392439499497</v>
      </c>
      <c r="H514" t="s">
        <v>371</v>
      </c>
      <c r="I514" t="s">
        <v>29</v>
      </c>
      <c r="J514">
        <v>0</v>
      </c>
      <c r="K514">
        <v>51</v>
      </c>
      <c r="L514" t="s">
        <v>369</v>
      </c>
      <c r="M514">
        <v>1211</v>
      </c>
      <c r="N514">
        <v>1.321955597028136</v>
      </c>
      <c r="O514">
        <v>9.9987648911774158</v>
      </c>
      <c r="P514">
        <v>0.87389491125941277</v>
      </c>
      <c r="Q514">
        <v>7.9897523140534759</v>
      </c>
      <c r="R514">
        <v>0</v>
      </c>
      <c r="S514" t="s">
        <v>322</v>
      </c>
      <c r="T514">
        <v>2016</v>
      </c>
      <c r="U514" s="1">
        <v>45901.600802198707</v>
      </c>
      <c r="V514" t="s">
        <v>32</v>
      </c>
      <c r="W514" t="s">
        <v>84</v>
      </c>
      <c r="X514">
        <v>1.0001235261390811</v>
      </c>
      <c r="Y514">
        <v>1.035539824646873</v>
      </c>
      <c r="Z514">
        <v>1.235108822584152E-3</v>
      </c>
      <c r="AA514">
        <v>3.7902559867877792</v>
      </c>
      <c r="AB514">
        <v>0.74309565665232646</v>
      </c>
    </row>
    <row r="515" spans="1:28" x14ac:dyDescent="0.25">
      <c r="A515">
        <v>2</v>
      </c>
      <c r="B515">
        <v>30</v>
      </c>
      <c r="C515">
        <v>29</v>
      </c>
      <c r="D515">
        <v>227</v>
      </c>
      <c r="E515">
        <v>22</v>
      </c>
      <c r="F515">
        <v>23</v>
      </c>
      <c r="G515">
        <v>22.591377045959231</v>
      </c>
      <c r="H515" t="s">
        <v>299</v>
      </c>
      <c r="I515" t="s">
        <v>29</v>
      </c>
      <c r="J515">
        <v>0</v>
      </c>
      <c r="K515">
        <v>127</v>
      </c>
      <c r="L515" t="s">
        <v>323</v>
      </c>
      <c r="M515">
        <v>2163</v>
      </c>
      <c r="N515">
        <v>2.3904436947777872</v>
      </c>
      <c r="O515">
        <v>27.89580095931888</v>
      </c>
      <c r="P515">
        <v>5.4104958102107048</v>
      </c>
      <c r="Q515">
        <v>28.03574109077454</v>
      </c>
      <c r="R515">
        <v>1</v>
      </c>
      <c r="S515" t="s">
        <v>322</v>
      </c>
      <c r="T515">
        <v>2017</v>
      </c>
      <c r="U515" s="1">
        <v>45901.600802198707</v>
      </c>
      <c r="V515" t="s">
        <v>32</v>
      </c>
      <c r="W515" t="s">
        <v>97</v>
      </c>
      <c r="X515">
        <v>1.0395829839154429</v>
      </c>
      <c r="Y515">
        <v>1.018087562932064</v>
      </c>
      <c r="Z515">
        <v>1.10419904068112</v>
      </c>
      <c r="AA515">
        <v>5.2843273231622749</v>
      </c>
      <c r="AB515">
        <v>1.160712938667914</v>
      </c>
    </row>
    <row r="516" spans="1:28" x14ac:dyDescent="0.25">
      <c r="A516">
        <v>1</v>
      </c>
      <c r="B516">
        <v>32</v>
      </c>
      <c r="C516">
        <v>15</v>
      </c>
      <c r="D516">
        <v>4248</v>
      </c>
      <c r="E516">
        <v>32</v>
      </c>
      <c r="F516">
        <v>10</v>
      </c>
      <c r="G516">
        <v>7.2619995065033436</v>
      </c>
      <c r="H516" t="s">
        <v>371</v>
      </c>
      <c r="I516" t="s">
        <v>29</v>
      </c>
      <c r="J516">
        <v>1</v>
      </c>
      <c r="K516">
        <v>64</v>
      </c>
      <c r="L516" t="s">
        <v>369</v>
      </c>
      <c r="M516">
        <v>2226</v>
      </c>
      <c r="N516">
        <v>2.184673504903913</v>
      </c>
      <c r="O516">
        <v>11.808655690401791</v>
      </c>
      <c r="P516">
        <v>1.813873304054141</v>
      </c>
      <c r="Q516">
        <v>8.8960637766867876</v>
      </c>
      <c r="R516">
        <v>3</v>
      </c>
      <c r="S516" t="s">
        <v>322</v>
      </c>
      <c r="T516">
        <v>2017</v>
      </c>
      <c r="U516" s="1">
        <v>45901.600802198707</v>
      </c>
      <c r="V516" t="s">
        <v>32</v>
      </c>
      <c r="W516" t="s">
        <v>97</v>
      </c>
      <c r="X516">
        <v>1.270254666853583</v>
      </c>
      <c r="Y516">
        <v>1.3770312144809</v>
      </c>
      <c r="Z516">
        <v>3.191344309598207</v>
      </c>
      <c r="AA516">
        <v>2.5876010781671162</v>
      </c>
      <c r="AB516">
        <v>0.47743890931543642</v>
      </c>
    </row>
    <row r="517" spans="1:28" x14ac:dyDescent="0.25">
      <c r="A517">
        <v>2</v>
      </c>
      <c r="B517">
        <v>31</v>
      </c>
      <c r="C517">
        <v>14</v>
      </c>
      <c r="D517">
        <v>83</v>
      </c>
      <c r="E517">
        <v>33</v>
      </c>
      <c r="F517">
        <v>14</v>
      </c>
      <c r="G517">
        <v>10.53219700045884</v>
      </c>
      <c r="H517" t="s">
        <v>372</v>
      </c>
      <c r="I517" t="s">
        <v>35</v>
      </c>
      <c r="J517">
        <v>0</v>
      </c>
      <c r="K517">
        <v>55</v>
      </c>
      <c r="L517" t="s">
        <v>331</v>
      </c>
      <c r="M517">
        <v>2607</v>
      </c>
      <c r="N517">
        <v>5.164169117808342</v>
      </c>
      <c r="O517">
        <v>10.53219700045884</v>
      </c>
      <c r="P517">
        <v>4.3211921597830951</v>
      </c>
      <c r="Q517">
        <v>17.41033835709095</v>
      </c>
      <c r="R517">
        <v>5</v>
      </c>
      <c r="S517" t="s">
        <v>322</v>
      </c>
      <c r="T517">
        <v>2017</v>
      </c>
      <c r="U517" s="1">
        <v>45901.600802198707</v>
      </c>
      <c r="V517" t="s">
        <v>32</v>
      </c>
      <c r="W517" t="s">
        <v>97</v>
      </c>
      <c r="X517">
        <v>1.329257323936315</v>
      </c>
      <c r="Y517">
        <v>1.329257323936315</v>
      </c>
      <c r="Z517">
        <v>3.467802999541163</v>
      </c>
      <c r="AA517">
        <v>1.89873417721519</v>
      </c>
      <c r="AB517">
        <v>0.36359713465335453</v>
      </c>
    </row>
    <row r="518" spans="1:28" x14ac:dyDescent="0.25">
      <c r="A518">
        <v>3</v>
      </c>
      <c r="B518">
        <v>34</v>
      </c>
      <c r="C518">
        <v>14</v>
      </c>
      <c r="D518">
        <v>6098</v>
      </c>
      <c r="E518">
        <v>37</v>
      </c>
      <c r="F518">
        <v>11</v>
      </c>
      <c r="G518">
        <v>8.3882031347602606</v>
      </c>
      <c r="H518" t="s">
        <v>373</v>
      </c>
      <c r="I518" t="s">
        <v>29</v>
      </c>
      <c r="J518">
        <v>0</v>
      </c>
      <c r="K518">
        <v>87</v>
      </c>
      <c r="L518" t="s">
        <v>374</v>
      </c>
      <c r="M518">
        <v>2387</v>
      </c>
      <c r="N518">
        <v>3.6936259083449841</v>
      </c>
      <c r="O518">
        <v>11.41922466643155</v>
      </c>
      <c r="P518">
        <v>4.8630581647157669</v>
      </c>
      <c r="Q518">
        <v>14.36186360009015</v>
      </c>
      <c r="R518">
        <v>2</v>
      </c>
      <c r="S518" t="s">
        <v>322</v>
      </c>
      <c r="T518">
        <v>2017</v>
      </c>
      <c r="U518" s="1">
        <v>45901.600802198707</v>
      </c>
      <c r="V518" t="s">
        <v>32</v>
      </c>
      <c r="W518" t="s">
        <v>97</v>
      </c>
      <c r="X518">
        <v>1.2260026760971801</v>
      </c>
      <c r="Y518">
        <v>1.311365476405381</v>
      </c>
      <c r="Z518">
        <v>2.5807753335684538</v>
      </c>
      <c r="AA518">
        <v>3.280268118977796</v>
      </c>
      <c r="AB518">
        <v>0.43055308754873861</v>
      </c>
    </row>
    <row r="519" spans="1:28" x14ac:dyDescent="0.25">
      <c r="A519">
        <v>7</v>
      </c>
      <c r="B519">
        <v>32</v>
      </c>
      <c r="C519">
        <v>13</v>
      </c>
      <c r="D519">
        <v>65</v>
      </c>
      <c r="E519">
        <v>24</v>
      </c>
      <c r="F519">
        <v>11</v>
      </c>
      <c r="G519">
        <v>12.05882663279772</v>
      </c>
      <c r="H519" t="s">
        <v>361</v>
      </c>
      <c r="I519" t="s">
        <v>29</v>
      </c>
      <c r="J519">
        <v>0</v>
      </c>
      <c r="K519">
        <v>95</v>
      </c>
      <c r="L519" t="s">
        <v>362</v>
      </c>
      <c r="M519">
        <v>2497</v>
      </c>
      <c r="N519">
        <v>4.5311982054263353</v>
      </c>
      <c r="O519">
        <v>13.574379600584511</v>
      </c>
      <c r="P519">
        <v>2.6707776859402661</v>
      </c>
      <c r="Q519">
        <v>16.800834264606241</v>
      </c>
      <c r="R519">
        <v>1</v>
      </c>
      <c r="S519" t="s">
        <v>322</v>
      </c>
      <c r="T519">
        <v>2017</v>
      </c>
      <c r="U519" s="1">
        <v>45901.600802198707</v>
      </c>
      <c r="V519" t="s">
        <v>32</v>
      </c>
      <c r="W519" t="s">
        <v>97</v>
      </c>
      <c r="X519">
        <v>0.95768649341736578</v>
      </c>
      <c r="Y519">
        <v>0.91219488719425568</v>
      </c>
      <c r="Z519">
        <v>-0.57437960058450876</v>
      </c>
      <c r="AA519">
        <v>3.42410893071686</v>
      </c>
      <c r="AB519">
        <v>0.48926478336107559</v>
      </c>
    </row>
    <row r="520" spans="1:28" x14ac:dyDescent="0.25">
      <c r="A520">
        <v>2</v>
      </c>
      <c r="B520">
        <v>32</v>
      </c>
      <c r="C520">
        <v>13</v>
      </c>
      <c r="D520">
        <v>171</v>
      </c>
      <c r="E520">
        <v>20</v>
      </c>
      <c r="F520">
        <v>12</v>
      </c>
      <c r="G520">
        <v>9.1457464797422272</v>
      </c>
      <c r="H520" t="s">
        <v>375</v>
      </c>
      <c r="I520" t="s">
        <v>35</v>
      </c>
      <c r="J520">
        <v>0</v>
      </c>
      <c r="K520">
        <v>91</v>
      </c>
      <c r="L520" t="s">
        <v>341</v>
      </c>
      <c r="M520">
        <v>2543</v>
      </c>
      <c r="N520">
        <v>1.296930998563766</v>
      </c>
      <c r="O520">
        <v>9.9035233883187157</v>
      </c>
      <c r="P520">
        <v>4.8427752563729882</v>
      </c>
      <c r="Q520">
        <v>12.25973033718765</v>
      </c>
      <c r="R520">
        <v>3</v>
      </c>
      <c r="S520" t="s">
        <v>322</v>
      </c>
      <c r="T520">
        <v>2017</v>
      </c>
      <c r="U520" s="1">
        <v>45901.600802198707</v>
      </c>
      <c r="V520" t="s">
        <v>32</v>
      </c>
      <c r="W520" t="s">
        <v>97</v>
      </c>
      <c r="X520">
        <v>1.312664138839073</v>
      </c>
      <c r="Y520">
        <v>1.312085353183573</v>
      </c>
      <c r="Z520">
        <v>3.0964766116812839</v>
      </c>
      <c r="AA520">
        <v>3.2206055839559582</v>
      </c>
      <c r="AB520">
        <v>0.35049827170612841</v>
      </c>
    </row>
    <row r="521" spans="1:28" x14ac:dyDescent="0.25">
      <c r="A521">
        <v>3</v>
      </c>
      <c r="B521">
        <v>16</v>
      </c>
      <c r="C521">
        <v>13</v>
      </c>
      <c r="D521">
        <v>318</v>
      </c>
      <c r="E521">
        <v>16</v>
      </c>
      <c r="F521">
        <v>10</v>
      </c>
      <c r="G521">
        <v>13.62263572961092</v>
      </c>
      <c r="H521" t="s">
        <v>105</v>
      </c>
      <c r="I521" t="s">
        <v>32</v>
      </c>
      <c r="J521">
        <v>1</v>
      </c>
      <c r="K521">
        <v>59</v>
      </c>
      <c r="L521" t="s">
        <v>326</v>
      </c>
      <c r="M521">
        <v>1421</v>
      </c>
      <c r="N521">
        <v>2.558148417621851</v>
      </c>
      <c r="O521">
        <v>16.653742618858811</v>
      </c>
      <c r="P521">
        <v>2.5583293754607439</v>
      </c>
      <c r="Q521">
        <v>16.926885113120079</v>
      </c>
      <c r="R521">
        <v>0</v>
      </c>
      <c r="S521" t="s">
        <v>322</v>
      </c>
      <c r="T521">
        <v>2017</v>
      </c>
      <c r="U521" s="1">
        <v>45901.600802198707</v>
      </c>
      <c r="V521" t="s">
        <v>32</v>
      </c>
      <c r="W521" t="s">
        <v>97</v>
      </c>
      <c r="X521">
        <v>0.78060531482447126</v>
      </c>
      <c r="Y521">
        <v>0.73407233361334345</v>
      </c>
      <c r="Z521">
        <v>-3.6537426188588138</v>
      </c>
      <c r="AA521">
        <v>3.7368050668543278</v>
      </c>
      <c r="AB521">
        <v>1.0547760983091441</v>
      </c>
    </row>
    <row r="522" spans="1:28" x14ac:dyDescent="0.25">
      <c r="A522">
        <v>6</v>
      </c>
      <c r="B522">
        <v>34</v>
      </c>
      <c r="C522">
        <v>13</v>
      </c>
      <c r="D522">
        <v>956</v>
      </c>
      <c r="E522">
        <v>52</v>
      </c>
      <c r="F522">
        <v>11</v>
      </c>
      <c r="G522">
        <v>8.7031452339142561</v>
      </c>
      <c r="H522" t="s">
        <v>364</v>
      </c>
      <c r="I522" t="s">
        <v>35</v>
      </c>
      <c r="J522">
        <v>0</v>
      </c>
      <c r="K522">
        <v>82</v>
      </c>
      <c r="L522" t="s">
        <v>365</v>
      </c>
      <c r="M522">
        <v>2221</v>
      </c>
      <c r="N522">
        <v>5.7031543180346489</v>
      </c>
      <c r="O522">
        <v>10.21869924478233</v>
      </c>
      <c r="P522">
        <v>7.2434965465217829</v>
      </c>
      <c r="Q522">
        <v>16.0079105310142</v>
      </c>
      <c r="R522">
        <v>1</v>
      </c>
      <c r="S522" t="s">
        <v>322</v>
      </c>
      <c r="T522">
        <v>2017</v>
      </c>
      <c r="U522" s="1">
        <v>45901.600802198707</v>
      </c>
      <c r="V522" t="s">
        <v>32</v>
      </c>
      <c r="W522" t="s">
        <v>97</v>
      </c>
      <c r="X522">
        <v>1.2721775725650999</v>
      </c>
      <c r="Y522">
        <v>1.2639108855882819</v>
      </c>
      <c r="Z522">
        <v>2.781300755217671</v>
      </c>
      <c r="AA522">
        <v>3.3228275551553361</v>
      </c>
      <c r="AB522">
        <v>0.41408506620009428</v>
      </c>
    </row>
    <row r="523" spans="1:28" x14ac:dyDescent="0.25">
      <c r="A523">
        <v>3</v>
      </c>
      <c r="B523">
        <v>25</v>
      </c>
      <c r="C523">
        <v>12</v>
      </c>
      <c r="D523">
        <v>11</v>
      </c>
      <c r="E523">
        <v>22</v>
      </c>
      <c r="F523">
        <v>11</v>
      </c>
      <c r="G523">
        <v>9.0858712308108807</v>
      </c>
      <c r="H523" t="s">
        <v>346</v>
      </c>
      <c r="I523" t="s">
        <v>29</v>
      </c>
      <c r="J523">
        <v>0</v>
      </c>
      <c r="K523">
        <v>53</v>
      </c>
      <c r="L523" t="s">
        <v>376</v>
      </c>
      <c r="M523">
        <v>1599</v>
      </c>
      <c r="N523">
        <v>1.720283318310976</v>
      </c>
      <c r="O523">
        <v>9.8436442129313964</v>
      </c>
      <c r="P523">
        <v>2.1556782871484761</v>
      </c>
      <c r="Q523">
        <v>11.89092468097806</v>
      </c>
      <c r="R523">
        <v>4</v>
      </c>
      <c r="S523" t="s">
        <v>322</v>
      </c>
      <c r="T523">
        <v>2017</v>
      </c>
      <c r="U523" s="1">
        <v>45901.600802198707</v>
      </c>
      <c r="V523" t="s">
        <v>32</v>
      </c>
      <c r="W523" t="s">
        <v>97</v>
      </c>
      <c r="X523">
        <v>1.2190607198333969</v>
      </c>
      <c r="Y523">
        <v>1.2106709109741911</v>
      </c>
      <c r="Z523">
        <v>2.1563557870686041</v>
      </c>
      <c r="AA523">
        <v>2.9831144465290809</v>
      </c>
      <c r="AB523">
        <v>0.55405126902052892</v>
      </c>
    </row>
    <row r="524" spans="1:28" x14ac:dyDescent="0.25">
      <c r="A524">
        <v>3</v>
      </c>
      <c r="B524">
        <v>31</v>
      </c>
      <c r="C524">
        <v>12</v>
      </c>
      <c r="D524">
        <v>26</v>
      </c>
      <c r="E524">
        <v>16</v>
      </c>
      <c r="F524">
        <v>11</v>
      </c>
      <c r="G524">
        <v>8.0517400605604053</v>
      </c>
      <c r="H524" t="s">
        <v>348</v>
      </c>
      <c r="I524" t="s">
        <v>35</v>
      </c>
      <c r="J524">
        <v>0</v>
      </c>
      <c r="K524">
        <v>50</v>
      </c>
      <c r="L524" t="s">
        <v>349</v>
      </c>
      <c r="M524">
        <v>2237</v>
      </c>
      <c r="N524">
        <v>2.3350692065432672</v>
      </c>
      <c r="O524">
        <v>9.5672902557998896</v>
      </c>
      <c r="P524">
        <v>1.960311320610344</v>
      </c>
      <c r="Q524">
        <v>9.7539019268006086</v>
      </c>
      <c r="R524">
        <v>0</v>
      </c>
      <c r="S524" t="s">
        <v>322</v>
      </c>
      <c r="T524">
        <v>2017</v>
      </c>
      <c r="U524" s="1">
        <v>45901.600802198707</v>
      </c>
      <c r="V524" t="s">
        <v>32</v>
      </c>
      <c r="W524" t="s">
        <v>97</v>
      </c>
      <c r="X524">
        <v>1.254273642709371</v>
      </c>
      <c r="Y524">
        <v>1.366164321906139</v>
      </c>
      <c r="Z524">
        <v>2.43270974420011</v>
      </c>
      <c r="AA524">
        <v>2.0116227089852479</v>
      </c>
      <c r="AB524">
        <v>0.38491556684040679</v>
      </c>
    </row>
    <row r="525" spans="1:28" x14ac:dyDescent="0.25">
      <c r="A525">
        <v>3</v>
      </c>
      <c r="B525">
        <v>22</v>
      </c>
      <c r="C525">
        <v>12</v>
      </c>
      <c r="D525">
        <v>2655</v>
      </c>
      <c r="E525">
        <v>32</v>
      </c>
      <c r="F525">
        <v>9</v>
      </c>
      <c r="G525">
        <v>9.0351252872496843</v>
      </c>
      <c r="H525" t="s">
        <v>377</v>
      </c>
      <c r="I525" t="s">
        <v>32</v>
      </c>
      <c r="J525">
        <v>0</v>
      </c>
      <c r="K525">
        <v>52</v>
      </c>
      <c r="L525" t="s">
        <v>341</v>
      </c>
      <c r="M525">
        <v>1837</v>
      </c>
      <c r="N525">
        <v>3.556873070076108</v>
      </c>
      <c r="O525">
        <v>11.30845114775002</v>
      </c>
      <c r="P525">
        <v>2.599683510139585</v>
      </c>
      <c r="Q525">
        <v>13.88673909381032</v>
      </c>
      <c r="R525">
        <v>2</v>
      </c>
      <c r="S525" t="s">
        <v>322</v>
      </c>
      <c r="T525">
        <v>2017</v>
      </c>
      <c r="U525" s="1">
        <v>45901.600802198707</v>
      </c>
      <c r="V525" t="s">
        <v>32</v>
      </c>
      <c r="W525" t="s">
        <v>97</v>
      </c>
      <c r="X525">
        <v>1.0611532775987249</v>
      </c>
      <c r="Y525">
        <v>0.99611236301291217</v>
      </c>
      <c r="Z525">
        <v>0.69154885224997997</v>
      </c>
      <c r="AA525">
        <v>2.547632008709853</v>
      </c>
      <c r="AB525">
        <v>0.5540340790949928</v>
      </c>
    </row>
    <row r="526" spans="1:28" x14ac:dyDescent="0.25">
      <c r="A526">
        <v>4</v>
      </c>
      <c r="B526">
        <v>32</v>
      </c>
      <c r="C526">
        <v>11</v>
      </c>
      <c r="D526">
        <v>5302</v>
      </c>
      <c r="E526">
        <v>28</v>
      </c>
      <c r="F526">
        <v>11</v>
      </c>
      <c r="G526">
        <v>9.0034916158765554</v>
      </c>
      <c r="H526" t="s">
        <v>378</v>
      </c>
      <c r="I526" t="s">
        <v>35</v>
      </c>
      <c r="J526">
        <v>0</v>
      </c>
      <c r="K526">
        <v>55</v>
      </c>
      <c r="L526" t="s">
        <v>355</v>
      </c>
      <c r="M526">
        <v>2324</v>
      </c>
      <c r="N526">
        <v>4.3925312338396907</v>
      </c>
      <c r="O526">
        <v>9.0034916158765554</v>
      </c>
      <c r="P526">
        <v>2.0622152583673601</v>
      </c>
      <c r="Q526">
        <v>11.453918799757959</v>
      </c>
      <c r="R526">
        <v>8</v>
      </c>
      <c r="S526" t="s">
        <v>322</v>
      </c>
      <c r="T526">
        <v>2017</v>
      </c>
      <c r="U526" s="1">
        <v>45901.600802198707</v>
      </c>
      <c r="V526" t="s">
        <v>32</v>
      </c>
      <c r="W526" t="s">
        <v>97</v>
      </c>
      <c r="X526">
        <v>1.221748236051317</v>
      </c>
      <c r="Y526">
        <v>1.221748236051317</v>
      </c>
      <c r="Z526">
        <v>1.996508384123445</v>
      </c>
      <c r="AA526">
        <v>2.1299483648881239</v>
      </c>
      <c r="AB526">
        <v>0.34867222264582193</v>
      </c>
    </row>
    <row r="527" spans="1:28" x14ac:dyDescent="0.25">
      <c r="A527">
        <v>5</v>
      </c>
      <c r="B527">
        <v>34</v>
      </c>
      <c r="C527">
        <v>10</v>
      </c>
      <c r="D527">
        <v>213</v>
      </c>
      <c r="E527">
        <v>63</v>
      </c>
      <c r="F527">
        <v>5</v>
      </c>
      <c r="G527">
        <v>9.7510777739807963</v>
      </c>
      <c r="H527" t="s">
        <v>379</v>
      </c>
      <c r="I527" t="s">
        <v>35</v>
      </c>
      <c r="J527">
        <v>0</v>
      </c>
      <c r="K527">
        <v>88</v>
      </c>
      <c r="L527" t="s">
        <v>333</v>
      </c>
      <c r="M527">
        <v>2955</v>
      </c>
      <c r="N527">
        <v>6.6312037389725447</v>
      </c>
      <c r="O527">
        <v>14.29757604282349</v>
      </c>
      <c r="P527">
        <v>8.564172875136137</v>
      </c>
      <c r="Q527">
        <v>20.93061364069581</v>
      </c>
      <c r="R527">
        <v>1</v>
      </c>
      <c r="S527" t="s">
        <v>322</v>
      </c>
      <c r="T527">
        <v>2017</v>
      </c>
      <c r="U527" s="1">
        <v>45901.600802198707</v>
      </c>
      <c r="V527" t="s">
        <v>32</v>
      </c>
      <c r="W527" t="s">
        <v>97</v>
      </c>
      <c r="X527">
        <v>0.69941925610665934</v>
      </c>
      <c r="Y527">
        <v>0.51276383143427551</v>
      </c>
      <c r="Z527">
        <v>-4.2975760428234917</v>
      </c>
      <c r="AA527">
        <v>2.6802030456852788</v>
      </c>
      <c r="AB527">
        <v>0.43545916881695912</v>
      </c>
    </row>
    <row r="528" spans="1:28" x14ac:dyDescent="0.25">
      <c r="A528">
        <v>5</v>
      </c>
      <c r="B528">
        <v>22</v>
      </c>
      <c r="C528">
        <v>10</v>
      </c>
      <c r="D528">
        <v>993</v>
      </c>
      <c r="E528">
        <v>26</v>
      </c>
      <c r="F528">
        <v>10</v>
      </c>
      <c r="G528">
        <v>5.1696036271750927</v>
      </c>
      <c r="H528" t="s">
        <v>370</v>
      </c>
      <c r="I528" t="s">
        <v>35</v>
      </c>
      <c r="J528">
        <v>0</v>
      </c>
      <c r="K528">
        <v>50</v>
      </c>
      <c r="L528" t="s">
        <v>365</v>
      </c>
      <c r="M528">
        <v>1535</v>
      </c>
      <c r="N528">
        <v>3.7231094446033239</v>
      </c>
      <c r="O528">
        <v>5.9273804314434528</v>
      </c>
      <c r="P528">
        <v>4.1164081990718842</v>
      </c>
      <c r="Q528">
        <v>11.80041354522109</v>
      </c>
      <c r="R528">
        <v>0</v>
      </c>
      <c r="S528" t="s">
        <v>322</v>
      </c>
      <c r="T528">
        <v>2017</v>
      </c>
      <c r="U528" s="1">
        <v>45901.600802198707</v>
      </c>
      <c r="V528" t="s">
        <v>32</v>
      </c>
      <c r="W528" t="s">
        <v>97</v>
      </c>
      <c r="X528">
        <v>1.687085908465094</v>
      </c>
      <c r="Y528">
        <v>1.9343842818882531</v>
      </c>
      <c r="Z528">
        <v>4.0726195685565472</v>
      </c>
      <c r="AA528">
        <v>2.9315960912052121</v>
      </c>
      <c r="AB528">
        <v>0.34753370607811779</v>
      </c>
    </row>
    <row r="529" spans="1:28" x14ac:dyDescent="0.25">
      <c r="A529">
        <v>0</v>
      </c>
      <c r="B529">
        <v>27</v>
      </c>
      <c r="C529">
        <v>10</v>
      </c>
      <c r="D529">
        <v>4280</v>
      </c>
      <c r="E529">
        <v>15</v>
      </c>
      <c r="F529">
        <v>9</v>
      </c>
      <c r="G529">
        <v>6.6523497113958001</v>
      </c>
      <c r="H529" t="s">
        <v>380</v>
      </c>
      <c r="I529" t="s">
        <v>29</v>
      </c>
      <c r="J529">
        <v>0</v>
      </c>
      <c r="K529">
        <v>46</v>
      </c>
      <c r="L529" t="s">
        <v>349</v>
      </c>
      <c r="M529">
        <v>1887</v>
      </c>
      <c r="N529">
        <v>1.7112510809674859</v>
      </c>
      <c r="O529">
        <v>7.410126687027514</v>
      </c>
      <c r="P529">
        <v>3.385637160390615</v>
      </c>
      <c r="Q529">
        <v>10.679217139258981</v>
      </c>
      <c r="R529">
        <v>4</v>
      </c>
      <c r="S529" t="s">
        <v>322</v>
      </c>
      <c r="T529">
        <v>2017</v>
      </c>
      <c r="U529" s="1">
        <v>45901.600802198707</v>
      </c>
      <c r="V529" t="s">
        <v>32</v>
      </c>
      <c r="W529" t="s">
        <v>97</v>
      </c>
      <c r="X529">
        <v>1.34950459315445</v>
      </c>
      <c r="Y529">
        <v>1.352905422963943</v>
      </c>
      <c r="Z529">
        <v>2.589873312972486</v>
      </c>
      <c r="AA529">
        <v>2.1939586645469</v>
      </c>
      <c r="AB529">
        <v>0.35342416631291801</v>
      </c>
    </row>
    <row r="530" spans="1:28" x14ac:dyDescent="0.25">
      <c r="A530">
        <v>7</v>
      </c>
      <c r="B530">
        <v>33</v>
      </c>
      <c r="C530">
        <v>22</v>
      </c>
      <c r="D530">
        <v>227</v>
      </c>
      <c r="E530">
        <v>47</v>
      </c>
      <c r="F530">
        <v>19</v>
      </c>
      <c r="G530">
        <v>30.112291682511572</v>
      </c>
      <c r="H530" t="s">
        <v>299</v>
      </c>
      <c r="I530" t="s">
        <v>32</v>
      </c>
      <c r="J530">
        <v>0</v>
      </c>
      <c r="K530">
        <v>144</v>
      </c>
      <c r="L530" t="s">
        <v>323</v>
      </c>
      <c r="M530">
        <v>2959</v>
      </c>
      <c r="N530">
        <v>9.6134162694215757</v>
      </c>
      <c r="O530">
        <v>33.143249057233326</v>
      </c>
      <c r="P530">
        <v>8.9408814422786236</v>
      </c>
      <c r="Q530">
        <v>41.923317365348339</v>
      </c>
      <c r="R530">
        <v>2</v>
      </c>
      <c r="S530" t="s">
        <v>322</v>
      </c>
      <c r="T530">
        <v>2018</v>
      </c>
      <c r="U530" s="1">
        <v>45901.600802198707</v>
      </c>
      <c r="V530" t="s">
        <v>32</v>
      </c>
      <c r="W530" t="s">
        <v>107</v>
      </c>
      <c r="X530">
        <v>0.66378525418583301</v>
      </c>
      <c r="Y530">
        <v>0.63097157135452109</v>
      </c>
      <c r="Z530">
        <v>-11.14324905723333</v>
      </c>
      <c r="AA530">
        <v>4.379858060155458</v>
      </c>
      <c r="AB530">
        <v>1.0080744897434939</v>
      </c>
    </row>
    <row r="531" spans="1:28" x14ac:dyDescent="0.25">
      <c r="A531">
        <v>0</v>
      </c>
      <c r="B531">
        <v>26</v>
      </c>
      <c r="C531">
        <v>18</v>
      </c>
      <c r="D531">
        <v>2380</v>
      </c>
      <c r="E531">
        <v>15</v>
      </c>
      <c r="F531">
        <v>17</v>
      </c>
      <c r="G531">
        <v>9.4859612267464399</v>
      </c>
      <c r="H531" t="s">
        <v>224</v>
      </c>
      <c r="I531" t="s">
        <v>29</v>
      </c>
      <c r="J531">
        <v>0</v>
      </c>
      <c r="K531">
        <v>52</v>
      </c>
      <c r="L531" t="s">
        <v>326</v>
      </c>
      <c r="M531">
        <v>1181</v>
      </c>
      <c r="N531">
        <v>1.6062998445704579</v>
      </c>
      <c r="O531">
        <v>10.24373820237815</v>
      </c>
      <c r="P531">
        <v>4.0995297841727734</v>
      </c>
      <c r="Q531">
        <v>12.346806429326531</v>
      </c>
      <c r="R531">
        <v>0</v>
      </c>
      <c r="S531" t="s">
        <v>322</v>
      </c>
      <c r="T531">
        <v>2018</v>
      </c>
      <c r="U531" s="1">
        <v>45901.600802198707</v>
      </c>
      <c r="V531" t="s">
        <v>32</v>
      </c>
      <c r="W531" t="s">
        <v>107</v>
      </c>
      <c r="X531">
        <v>1.7571710292070111</v>
      </c>
      <c r="Y531">
        <v>1.792122020493518</v>
      </c>
      <c r="Z531">
        <v>7.7562617976218462</v>
      </c>
      <c r="AA531">
        <v>3.962743437764606</v>
      </c>
      <c r="AB531">
        <v>0.78064050653178141</v>
      </c>
    </row>
    <row r="532" spans="1:28" x14ac:dyDescent="0.25">
      <c r="A532">
        <v>8</v>
      </c>
      <c r="B532">
        <v>27</v>
      </c>
      <c r="C532">
        <v>17</v>
      </c>
      <c r="D532">
        <v>319</v>
      </c>
      <c r="E532">
        <v>38</v>
      </c>
      <c r="F532">
        <v>14</v>
      </c>
      <c r="G532">
        <v>14.36617610789836</v>
      </c>
      <c r="H532" t="s">
        <v>353</v>
      </c>
      <c r="I532" t="s">
        <v>49</v>
      </c>
      <c r="J532">
        <v>1</v>
      </c>
      <c r="K532">
        <v>69</v>
      </c>
      <c r="L532" t="s">
        <v>326</v>
      </c>
      <c r="M532">
        <v>2335</v>
      </c>
      <c r="N532">
        <v>6.9398684957996011</v>
      </c>
      <c r="O532">
        <v>16.63950938731432</v>
      </c>
      <c r="P532">
        <v>9.2075582342222315</v>
      </c>
      <c r="Q532">
        <v>25.320992469787601</v>
      </c>
      <c r="R532">
        <v>3</v>
      </c>
      <c r="S532" t="s">
        <v>322</v>
      </c>
      <c r="T532">
        <v>2018</v>
      </c>
      <c r="U532" s="1">
        <v>45901.600802198707</v>
      </c>
      <c r="V532" t="s">
        <v>32</v>
      </c>
      <c r="W532" t="s">
        <v>107</v>
      </c>
      <c r="X532">
        <v>1.021664738081792</v>
      </c>
      <c r="Y532">
        <v>0.97451123352879987</v>
      </c>
      <c r="Z532">
        <v>0.36049061268568039</v>
      </c>
      <c r="AA532">
        <v>2.6595289079229119</v>
      </c>
      <c r="AB532">
        <v>0.64135153955387103</v>
      </c>
    </row>
    <row r="533" spans="1:28" x14ac:dyDescent="0.25">
      <c r="A533">
        <v>4</v>
      </c>
      <c r="B533">
        <v>30</v>
      </c>
      <c r="C533">
        <v>17</v>
      </c>
      <c r="D533">
        <v>956</v>
      </c>
      <c r="E533">
        <v>51</v>
      </c>
      <c r="F533">
        <v>12</v>
      </c>
      <c r="G533">
        <v>17.029068293049932</v>
      </c>
      <c r="H533" t="s">
        <v>364</v>
      </c>
      <c r="I533" t="s">
        <v>35</v>
      </c>
      <c r="J533">
        <v>0</v>
      </c>
      <c r="K533">
        <v>111</v>
      </c>
      <c r="L533" t="s">
        <v>365</v>
      </c>
      <c r="M533">
        <v>2418</v>
      </c>
      <c r="N533">
        <v>5.9216537773609161</v>
      </c>
      <c r="O533">
        <v>21.575572077184919</v>
      </c>
      <c r="P533">
        <v>12.90022129565477</v>
      </c>
      <c r="Q533">
        <v>30.955767493695021</v>
      </c>
      <c r="R533">
        <v>2</v>
      </c>
      <c r="S533" t="s">
        <v>322</v>
      </c>
      <c r="T533">
        <v>2018</v>
      </c>
      <c r="U533" s="1">
        <v>45901.600802198707</v>
      </c>
      <c r="V533" t="s">
        <v>32</v>
      </c>
      <c r="W533" t="s">
        <v>107</v>
      </c>
      <c r="X533">
        <v>0.78792812256304634</v>
      </c>
      <c r="Y533">
        <v>0.70467742529974797</v>
      </c>
      <c r="Z533">
        <v>-4.5755720771849191</v>
      </c>
      <c r="AA533">
        <v>4.1315136476426799</v>
      </c>
      <c r="AB533">
        <v>0.80306099542871912</v>
      </c>
    </row>
    <row r="534" spans="1:28" x14ac:dyDescent="0.25">
      <c r="A534">
        <v>3</v>
      </c>
      <c r="B534">
        <v>34</v>
      </c>
      <c r="C534">
        <v>17</v>
      </c>
      <c r="D534">
        <v>5220</v>
      </c>
      <c r="E534">
        <v>35</v>
      </c>
      <c r="F534">
        <v>14</v>
      </c>
      <c r="G534">
        <v>9.7211147034540755</v>
      </c>
      <c r="H534" t="s">
        <v>168</v>
      </c>
      <c r="I534" t="s">
        <v>35</v>
      </c>
      <c r="J534">
        <v>0</v>
      </c>
      <c r="K534">
        <v>86</v>
      </c>
      <c r="L534" t="s">
        <v>331</v>
      </c>
      <c r="M534">
        <v>2906</v>
      </c>
      <c r="N534">
        <v>2.9544783998280759</v>
      </c>
      <c r="O534">
        <v>11.994206056930119</v>
      </c>
      <c r="P534">
        <v>12.918040944263341</v>
      </c>
      <c r="Q534">
        <v>22.984743946231902</v>
      </c>
      <c r="R534">
        <v>2</v>
      </c>
      <c r="S534" t="s">
        <v>322</v>
      </c>
      <c r="T534">
        <v>2018</v>
      </c>
      <c r="U534" s="1">
        <v>45901.600802198707</v>
      </c>
      <c r="V534" t="s">
        <v>32</v>
      </c>
      <c r="W534" t="s">
        <v>107</v>
      </c>
      <c r="X534">
        <v>1.4173510042523889</v>
      </c>
      <c r="Y534">
        <v>1.44016405804013</v>
      </c>
      <c r="Z534">
        <v>5.0057939430698752</v>
      </c>
      <c r="AA534">
        <v>2.6634549208534071</v>
      </c>
      <c r="AB534">
        <v>0.37146543190767772</v>
      </c>
    </row>
    <row r="535" spans="1:28" x14ac:dyDescent="0.25">
      <c r="A535">
        <v>5</v>
      </c>
      <c r="B535">
        <v>32</v>
      </c>
      <c r="C535">
        <v>17</v>
      </c>
      <c r="D535">
        <v>6228</v>
      </c>
      <c r="E535">
        <v>26</v>
      </c>
      <c r="F535">
        <v>16</v>
      </c>
      <c r="G535">
        <v>15.6163340061903</v>
      </c>
      <c r="H535" t="s">
        <v>381</v>
      </c>
      <c r="I535" t="s">
        <v>35</v>
      </c>
      <c r="J535">
        <v>0</v>
      </c>
      <c r="K535">
        <v>96</v>
      </c>
      <c r="L535" t="s">
        <v>321</v>
      </c>
      <c r="M535">
        <v>2256</v>
      </c>
      <c r="N535">
        <v>3.9537296555936341</v>
      </c>
      <c r="O535">
        <v>16.37411300837994</v>
      </c>
      <c r="P535">
        <v>4.3567051254212856</v>
      </c>
      <c r="Q535">
        <v>19.627641800791029</v>
      </c>
      <c r="R535">
        <v>1</v>
      </c>
      <c r="S535" t="s">
        <v>322</v>
      </c>
      <c r="T535">
        <v>2018</v>
      </c>
      <c r="U535" s="1">
        <v>45901.600802198707</v>
      </c>
      <c r="V535" t="s">
        <v>32</v>
      </c>
      <c r="W535" t="s">
        <v>107</v>
      </c>
      <c r="X535">
        <v>1.0382241768637941</v>
      </c>
      <c r="Y535">
        <v>1.0245682497350279</v>
      </c>
      <c r="Z535">
        <v>0.62588699162006378</v>
      </c>
      <c r="AA535">
        <v>3.8297872340425529</v>
      </c>
      <c r="AB535">
        <v>0.65322259341941236</v>
      </c>
    </row>
    <row r="536" spans="1:28" x14ac:dyDescent="0.25">
      <c r="A536">
        <v>7</v>
      </c>
      <c r="B536">
        <v>34</v>
      </c>
      <c r="C536">
        <v>17</v>
      </c>
      <c r="D536">
        <v>7052</v>
      </c>
      <c r="E536">
        <v>37</v>
      </c>
      <c r="F536">
        <v>13</v>
      </c>
      <c r="G536">
        <v>12.712311571463941</v>
      </c>
      <c r="H536" t="s">
        <v>382</v>
      </c>
      <c r="I536" t="s">
        <v>29</v>
      </c>
      <c r="J536">
        <v>0</v>
      </c>
      <c r="K536">
        <v>74</v>
      </c>
      <c r="L536" t="s">
        <v>325</v>
      </c>
      <c r="M536">
        <v>2933</v>
      </c>
      <c r="N536">
        <v>4.7276760768145323</v>
      </c>
      <c r="O536">
        <v>15.743415473029019</v>
      </c>
      <c r="P536">
        <v>3.5356729971244931</v>
      </c>
      <c r="Q536">
        <v>18.03468561545014</v>
      </c>
      <c r="R536">
        <v>4</v>
      </c>
      <c r="S536" t="s">
        <v>322</v>
      </c>
      <c r="T536">
        <v>2018</v>
      </c>
      <c r="U536" s="1">
        <v>45901.600802198707</v>
      </c>
      <c r="V536" t="s">
        <v>32</v>
      </c>
      <c r="W536" t="s">
        <v>107</v>
      </c>
      <c r="X536">
        <v>1.079816513076449</v>
      </c>
      <c r="Y536">
        <v>1.0226306936326079</v>
      </c>
      <c r="Z536">
        <v>1.2565845269709841</v>
      </c>
      <c r="AA536">
        <v>2.2707125809751112</v>
      </c>
      <c r="AB536">
        <v>0.48309150786655691</v>
      </c>
    </row>
    <row r="537" spans="1:28" x14ac:dyDescent="0.25">
      <c r="A537">
        <v>7</v>
      </c>
      <c r="B537">
        <v>30</v>
      </c>
      <c r="C537">
        <v>16</v>
      </c>
      <c r="D537">
        <v>65</v>
      </c>
      <c r="E537">
        <v>36</v>
      </c>
      <c r="F537">
        <v>16</v>
      </c>
      <c r="G537">
        <v>16.625880055129532</v>
      </c>
      <c r="H537" t="s">
        <v>361</v>
      </c>
      <c r="I537" t="s">
        <v>35</v>
      </c>
      <c r="J537">
        <v>0</v>
      </c>
      <c r="K537">
        <v>107</v>
      </c>
      <c r="L537" t="s">
        <v>362</v>
      </c>
      <c r="M537">
        <v>2537</v>
      </c>
      <c r="N537">
        <v>5.6126817855983973</v>
      </c>
      <c r="O537">
        <v>17.383657984435558</v>
      </c>
      <c r="P537">
        <v>3.9079179167747502</v>
      </c>
      <c r="Q537">
        <v>24.071128740906719</v>
      </c>
      <c r="R537">
        <v>1</v>
      </c>
      <c r="S537" t="s">
        <v>322</v>
      </c>
      <c r="T537">
        <v>2018</v>
      </c>
      <c r="U537" s="1">
        <v>45901.600802198707</v>
      </c>
      <c r="V537" t="s">
        <v>32</v>
      </c>
      <c r="W537" t="s">
        <v>107</v>
      </c>
      <c r="X537">
        <v>0.92040467054319552</v>
      </c>
      <c r="Y537">
        <v>0.96235507214931293</v>
      </c>
      <c r="Z537">
        <v>-1.3836579844355581</v>
      </c>
      <c r="AA537">
        <v>3.795821836815136</v>
      </c>
      <c r="AB537">
        <v>0.61668475309389059</v>
      </c>
    </row>
    <row r="538" spans="1:28" x14ac:dyDescent="0.25">
      <c r="A538">
        <v>3</v>
      </c>
      <c r="B538">
        <v>28</v>
      </c>
      <c r="C538">
        <v>16</v>
      </c>
      <c r="D538">
        <v>3834</v>
      </c>
      <c r="E538">
        <v>30</v>
      </c>
      <c r="F538">
        <v>16</v>
      </c>
      <c r="G538">
        <v>12.27331838384271</v>
      </c>
      <c r="H538" t="s">
        <v>383</v>
      </c>
      <c r="I538" t="s">
        <v>35</v>
      </c>
      <c r="J538">
        <v>0</v>
      </c>
      <c r="K538">
        <v>89</v>
      </c>
      <c r="L538" t="s">
        <v>365</v>
      </c>
      <c r="M538">
        <v>1867</v>
      </c>
      <c r="N538">
        <v>5.1040602214634418</v>
      </c>
      <c r="O538">
        <v>12.27331838384271</v>
      </c>
      <c r="P538">
        <v>3.812878400087357</v>
      </c>
      <c r="Q538">
        <v>18.454886622726921</v>
      </c>
      <c r="R538">
        <v>3</v>
      </c>
      <c r="S538" t="s">
        <v>322</v>
      </c>
      <c r="T538">
        <v>2018</v>
      </c>
      <c r="U538" s="1">
        <v>45901.600802198707</v>
      </c>
      <c r="V538" t="s">
        <v>32</v>
      </c>
      <c r="W538" t="s">
        <v>107</v>
      </c>
      <c r="X538">
        <v>1.303640914348259</v>
      </c>
      <c r="Y538">
        <v>1.303640914348259</v>
      </c>
      <c r="Z538">
        <v>3.726681616157292</v>
      </c>
      <c r="AA538">
        <v>4.2903053026245308</v>
      </c>
      <c r="AB538">
        <v>0.59164362857302821</v>
      </c>
    </row>
    <row r="539" spans="1:28" x14ac:dyDescent="0.25">
      <c r="A539">
        <v>3</v>
      </c>
      <c r="B539">
        <v>31</v>
      </c>
      <c r="C539">
        <v>15</v>
      </c>
      <c r="D539">
        <v>5250</v>
      </c>
      <c r="E539">
        <v>32</v>
      </c>
      <c r="F539">
        <v>15</v>
      </c>
      <c r="G539">
        <v>12.08899285271764</v>
      </c>
      <c r="H539" t="s">
        <v>384</v>
      </c>
      <c r="I539" t="s">
        <v>29</v>
      </c>
      <c r="J539">
        <v>0</v>
      </c>
      <c r="K539">
        <v>65</v>
      </c>
      <c r="L539" t="s">
        <v>362</v>
      </c>
      <c r="M539">
        <v>2450</v>
      </c>
      <c r="N539">
        <v>4.4217241555452347</v>
      </c>
      <c r="O539">
        <v>12.08899285271764</v>
      </c>
      <c r="P539">
        <v>6.0613208878785372</v>
      </c>
      <c r="Q539">
        <v>19.941677691414949</v>
      </c>
      <c r="R539">
        <v>2</v>
      </c>
      <c r="S539" t="s">
        <v>322</v>
      </c>
      <c r="T539">
        <v>2018</v>
      </c>
      <c r="U539" s="1">
        <v>45901.600802198707</v>
      </c>
      <c r="V539" t="s">
        <v>32</v>
      </c>
      <c r="W539" t="s">
        <v>107</v>
      </c>
      <c r="X539">
        <v>1.240798152728493</v>
      </c>
      <c r="Y539">
        <v>1.240798152728493</v>
      </c>
      <c r="Z539">
        <v>2.911007147282362</v>
      </c>
      <c r="AA539">
        <v>2.3877551020408161</v>
      </c>
      <c r="AB539">
        <v>0.44408545173248459</v>
      </c>
    </row>
    <row r="540" spans="1:28" x14ac:dyDescent="0.25">
      <c r="A540">
        <v>9</v>
      </c>
      <c r="B540">
        <v>29</v>
      </c>
      <c r="C540">
        <v>15</v>
      </c>
      <c r="D540">
        <v>6144</v>
      </c>
      <c r="E540">
        <v>38</v>
      </c>
      <c r="F540">
        <v>12</v>
      </c>
      <c r="G540">
        <v>11.421543806791311</v>
      </c>
      <c r="H540" t="s">
        <v>385</v>
      </c>
      <c r="I540" t="s">
        <v>29</v>
      </c>
      <c r="J540">
        <v>0</v>
      </c>
      <c r="K540">
        <v>54</v>
      </c>
      <c r="L540" t="s">
        <v>321</v>
      </c>
      <c r="M540">
        <v>2176</v>
      </c>
      <c r="N540">
        <v>7.3658437579870224</v>
      </c>
      <c r="O540">
        <v>13.69487574696541</v>
      </c>
      <c r="P540">
        <v>5.616492498666048</v>
      </c>
      <c r="Q540">
        <v>18.389638468623161</v>
      </c>
      <c r="R540">
        <v>3</v>
      </c>
      <c r="S540" t="s">
        <v>322</v>
      </c>
      <c r="T540">
        <v>2018</v>
      </c>
      <c r="U540" s="1">
        <v>45901.600802198707</v>
      </c>
      <c r="V540" t="s">
        <v>32</v>
      </c>
      <c r="W540" t="s">
        <v>107</v>
      </c>
      <c r="X540">
        <v>1.095300189439381</v>
      </c>
      <c r="Y540">
        <v>1.05064606002428</v>
      </c>
      <c r="Z540">
        <v>1.3051242530345919</v>
      </c>
      <c r="AA540">
        <v>2.2334558823529411</v>
      </c>
      <c r="AB540">
        <v>0.56642408879912076</v>
      </c>
    </row>
    <row r="541" spans="1:28" x14ac:dyDescent="0.25">
      <c r="A541">
        <v>2</v>
      </c>
      <c r="B541">
        <v>34</v>
      </c>
      <c r="C541">
        <v>14</v>
      </c>
      <c r="D541">
        <v>5735</v>
      </c>
      <c r="E541">
        <v>30</v>
      </c>
      <c r="F541">
        <v>14</v>
      </c>
      <c r="G541">
        <v>13.43838215991855</v>
      </c>
      <c r="H541" t="s">
        <v>166</v>
      </c>
      <c r="I541" t="s">
        <v>29</v>
      </c>
      <c r="J541">
        <v>0</v>
      </c>
      <c r="K541">
        <v>96</v>
      </c>
      <c r="L541" t="s">
        <v>335</v>
      </c>
      <c r="M541">
        <v>2505</v>
      </c>
      <c r="N541">
        <v>2.8835383150726561</v>
      </c>
      <c r="O541">
        <v>13.43838215991855</v>
      </c>
      <c r="P541">
        <v>2.6748251272365451</v>
      </c>
      <c r="Q541">
        <v>17.881383119151</v>
      </c>
      <c r="R541">
        <v>2</v>
      </c>
      <c r="S541" t="s">
        <v>322</v>
      </c>
      <c r="T541">
        <v>2018</v>
      </c>
      <c r="U541" s="1">
        <v>45901.600802198707</v>
      </c>
      <c r="V541" t="s">
        <v>32</v>
      </c>
      <c r="W541" t="s">
        <v>107</v>
      </c>
      <c r="X541">
        <v>1.0417920723936951</v>
      </c>
      <c r="Y541">
        <v>1.0417920723936951</v>
      </c>
      <c r="Z541">
        <v>0.56161784008145155</v>
      </c>
      <c r="AA541">
        <v>3.4491017964071862</v>
      </c>
      <c r="AB541">
        <v>0.48281612550605568</v>
      </c>
    </row>
    <row r="542" spans="1:28" x14ac:dyDescent="0.25">
      <c r="A542">
        <v>4</v>
      </c>
      <c r="B542">
        <v>34</v>
      </c>
      <c r="C542">
        <v>12</v>
      </c>
      <c r="D542">
        <v>3310</v>
      </c>
      <c r="E542">
        <v>34</v>
      </c>
      <c r="F542">
        <v>12</v>
      </c>
      <c r="G542">
        <v>11.376329723745579</v>
      </c>
      <c r="H542" t="s">
        <v>386</v>
      </c>
      <c r="I542" t="s">
        <v>35</v>
      </c>
      <c r="J542">
        <v>0</v>
      </c>
      <c r="K542">
        <v>83</v>
      </c>
      <c r="L542" t="s">
        <v>333</v>
      </c>
      <c r="M542">
        <v>2513</v>
      </c>
      <c r="N542">
        <v>3.4188453424721961</v>
      </c>
      <c r="O542">
        <v>11.376329723745579</v>
      </c>
      <c r="P542">
        <v>5.1970779513940224</v>
      </c>
      <c r="Q542">
        <v>15.470361612737181</v>
      </c>
      <c r="R542">
        <v>2</v>
      </c>
      <c r="S542" t="s">
        <v>322</v>
      </c>
      <c r="T542">
        <v>2018</v>
      </c>
      <c r="U542" s="1">
        <v>45901.600802198707</v>
      </c>
      <c r="V542" t="s">
        <v>32</v>
      </c>
      <c r="W542" t="s">
        <v>107</v>
      </c>
      <c r="X542">
        <v>1.054821747558234</v>
      </c>
      <c r="Y542">
        <v>1.054821747558234</v>
      </c>
      <c r="Z542">
        <v>0.62367027625441551</v>
      </c>
      <c r="AA542">
        <v>2.972542777556705</v>
      </c>
      <c r="AB542">
        <v>0.40742923801715181</v>
      </c>
    </row>
    <row r="543" spans="1:28" x14ac:dyDescent="0.25">
      <c r="A543">
        <v>9</v>
      </c>
      <c r="B543">
        <v>32</v>
      </c>
      <c r="C543">
        <v>11</v>
      </c>
      <c r="D543">
        <v>155</v>
      </c>
      <c r="E543">
        <v>78</v>
      </c>
      <c r="F543">
        <v>8</v>
      </c>
      <c r="G543">
        <v>8.5718027064576745</v>
      </c>
      <c r="H543" t="s">
        <v>336</v>
      </c>
      <c r="I543" t="s">
        <v>49</v>
      </c>
      <c r="J543">
        <v>0</v>
      </c>
      <c r="K543">
        <v>91</v>
      </c>
      <c r="L543" t="s">
        <v>329</v>
      </c>
      <c r="M543">
        <v>2840</v>
      </c>
      <c r="N543">
        <v>5.906608497723937</v>
      </c>
      <c r="O543">
        <v>10.84513372275978</v>
      </c>
      <c r="P543">
        <v>9.3820661753416061</v>
      </c>
      <c r="Q543">
        <v>19.773416541516781</v>
      </c>
      <c r="R543">
        <v>0</v>
      </c>
      <c r="S543" t="s">
        <v>322</v>
      </c>
      <c r="T543">
        <v>2018</v>
      </c>
      <c r="U543" s="1">
        <v>45901.600802198707</v>
      </c>
      <c r="V543" t="s">
        <v>32</v>
      </c>
      <c r="W543" t="s">
        <v>107</v>
      </c>
      <c r="X543">
        <v>1.01427979416383</v>
      </c>
      <c r="Y543">
        <v>0.93329259596386882</v>
      </c>
      <c r="Z543">
        <v>0.1548662772402167</v>
      </c>
      <c r="AA543">
        <v>2.8838028169014081</v>
      </c>
      <c r="AB543">
        <v>0.34368381515788038</v>
      </c>
    </row>
    <row r="544" spans="1:28" x14ac:dyDescent="0.25">
      <c r="A544">
        <v>2</v>
      </c>
      <c r="B544">
        <v>28</v>
      </c>
      <c r="C544">
        <v>10</v>
      </c>
      <c r="D544">
        <v>29</v>
      </c>
      <c r="E544">
        <v>16</v>
      </c>
      <c r="F544">
        <v>9</v>
      </c>
      <c r="G544">
        <v>11.03877938911319</v>
      </c>
      <c r="H544" t="s">
        <v>360</v>
      </c>
      <c r="I544" t="s">
        <v>35</v>
      </c>
      <c r="J544">
        <v>1</v>
      </c>
      <c r="K544">
        <v>53</v>
      </c>
      <c r="L544" t="s">
        <v>349</v>
      </c>
      <c r="M544">
        <v>1838</v>
      </c>
      <c r="N544">
        <v>1.2025295868515971</v>
      </c>
      <c r="O544">
        <v>11.796555381268259</v>
      </c>
      <c r="P544">
        <v>3.7467404622584581</v>
      </c>
      <c r="Q544">
        <v>15.357356335967779</v>
      </c>
      <c r="R544">
        <v>4</v>
      </c>
      <c r="S544" t="s">
        <v>322</v>
      </c>
      <c r="T544">
        <v>2018</v>
      </c>
      <c r="U544" s="1">
        <v>45901.600802198707</v>
      </c>
      <c r="V544" t="s">
        <v>32</v>
      </c>
      <c r="W544" t="s">
        <v>107</v>
      </c>
      <c r="X544">
        <v>0.84770508651016785</v>
      </c>
      <c r="Y544">
        <v>0.81530753380904597</v>
      </c>
      <c r="Z544">
        <v>-1.7965553812682651</v>
      </c>
      <c r="AA544">
        <v>2.5952121871599561</v>
      </c>
      <c r="AB544">
        <v>0.57763328852782581</v>
      </c>
    </row>
    <row r="545" spans="1:28" x14ac:dyDescent="0.25">
      <c r="A545">
        <v>10</v>
      </c>
      <c r="B545">
        <v>33</v>
      </c>
      <c r="C545">
        <v>10</v>
      </c>
      <c r="D545">
        <v>213</v>
      </c>
      <c r="E545">
        <v>73</v>
      </c>
      <c r="F545">
        <v>7</v>
      </c>
      <c r="G545">
        <v>5.9297696743160486</v>
      </c>
      <c r="H545" t="s">
        <v>379</v>
      </c>
      <c r="I545" t="s">
        <v>49</v>
      </c>
      <c r="J545">
        <v>0</v>
      </c>
      <c r="K545">
        <v>75</v>
      </c>
      <c r="L545" t="s">
        <v>333</v>
      </c>
      <c r="M545">
        <v>2885</v>
      </c>
      <c r="N545">
        <v>9.7821977632120234</v>
      </c>
      <c r="O545">
        <v>9.7186512667685765</v>
      </c>
      <c r="P545">
        <v>8.8236468322575092</v>
      </c>
      <c r="Q545">
        <v>17.893271710723639</v>
      </c>
      <c r="R545">
        <v>1</v>
      </c>
      <c r="S545" t="s">
        <v>322</v>
      </c>
      <c r="T545">
        <v>2018</v>
      </c>
      <c r="U545" s="1">
        <v>45901.600802198707</v>
      </c>
      <c r="V545" t="s">
        <v>32</v>
      </c>
      <c r="W545" t="s">
        <v>107</v>
      </c>
      <c r="X545">
        <v>1.02894935989662</v>
      </c>
      <c r="Y545">
        <v>1.1804842994694209</v>
      </c>
      <c r="Z545">
        <v>0.28134873323142351</v>
      </c>
      <c r="AA545">
        <v>2.3396880415944539</v>
      </c>
      <c r="AB545">
        <v>0.30318149532380312</v>
      </c>
    </row>
    <row r="546" spans="1:28" x14ac:dyDescent="0.25">
      <c r="A546">
        <v>5</v>
      </c>
      <c r="B546">
        <v>30</v>
      </c>
      <c r="C546">
        <v>10</v>
      </c>
      <c r="D546">
        <v>993</v>
      </c>
      <c r="E546">
        <v>27</v>
      </c>
      <c r="F546">
        <v>10</v>
      </c>
      <c r="G546">
        <v>9.3367680367082357</v>
      </c>
      <c r="H546" t="s">
        <v>370</v>
      </c>
      <c r="I546" t="s">
        <v>35</v>
      </c>
      <c r="J546">
        <v>0</v>
      </c>
      <c r="K546">
        <v>63</v>
      </c>
      <c r="L546" t="s">
        <v>323</v>
      </c>
      <c r="M546">
        <v>1782</v>
      </c>
      <c r="N546">
        <v>7.477373942732811</v>
      </c>
      <c r="O546">
        <v>9.3367680367082357</v>
      </c>
      <c r="P546">
        <v>9.1989594120532274</v>
      </c>
      <c r="Q546">
        <v>23.934617253020409</v>
      </c>
      <c r="R546">
        <v>0</v>
      </c>
      <c r="S546" t="s">
        <v>322</v>
      </c>
      <c r="T546">
        <v>2018</v>
      </c>
      <c r="U546" s="1">
        <v>45901.600802198707</v>
      </c>
      <c r="V546" t="s">
        <v>32</v>
      </c>
      <c r="W546" t="s">
        <v>107</v>
      </c>
      <c r="X546">
        <v>1.0710344265471969</v>
      </c>
      <c r="Y546">
        <v>1.0710344265471969</v>
      </c>
      <c r="Z546">
        <v>0.66323196329176426</v>
      </c>
      <c r="AA546">
        <v>3.1818181818181821</v>
      </c>
      <c r="AB546">
        <v>0.47155394124789068</v>
      </c>
    </row>
    <row r="547" spans="1:28" x14ac:dyDescent="0.25">
      <c r="A547">
        <v>1</v>
      </c>
      <c r="B547">
        <v>18</v>
      </c>
      <c r="C547">
        <v>10</v>
      </c>
      <c r="D547">
        <v>2655</v>
      </c>
      <c r="E547">
        <v>20</v>
      </c>
      <c r="F547">
        <v>6</v>
      </c>
      <c r="G547">
        <v>8.4262117594480515</v>
      </c>
      <c r="H547" t="s">
        <v>377</v>
      </c>
      <c r="I547" t="s">
        <v>29</v>
      </c>
      <c r="J547">
        <v>0</v>
      </c>
      <c r="K547">
        <v>40</v>
      </c>
      <c r="L547" t="s">
        <v>341</v>
      </c>
      <c r="M547">
        <v>1372</v>
      </c>
      <c r="N547">
        <v>2.4275596924126148</v>
      </c>
      <c r="O547">
        <v>11.457078740000719</v>
      </c>
      <c r="P547">
        <v>1.500422294251621</v>
      </c>
      <c r="Q547">
        <v>10.545283645391461</v>
      </c>
      <c r="R547">
        <v>2</v>
      </c>
      <c r="S547" t="s">
        <v>322</v>
      </c>
      <c r="T547">
        <v>2018</v>
      </c>
      <c r="U547" s="1">
        <v>45901.600802198707</v>
      </c>
      <c r="V547" t="s">
        <v>32</v>
      </c>
      <c r="W547" t="s">
        <v>107</v>
      </c>
      <c r="X547">
        <v>0.87282283965514296</v>
      </c>
      <c r="Y547">
        <v>0.71206375667836552</v>
      </c>
      <c r="Z547">
        <v>-1.457078740000725</v>
      </c>
      <c r="AA547">
        <v>2.6239067055393579</v>
      </c>
      <c r="AB547">
        <v>0.75155764329450825</v>
      </c>
    </row>
    <row r="548" spans="1:28" x14ac:dyDescent="0.25">
      <c r="A548">
        <v>3</v>
      </c>
      <c r="B548">
        <v>24</v>
      </c>
      <c r="C548">
        <v>10</v>
      </c>
      <c r="D548">
        <v>4248</v>
      </c>
      <c r="E548">
        <v>21</v>
      </c>
      <c r="F548">
        <v>9</v>
      </c>
      <c r="G548">
        <v>5.907995667308569</v>
      </c>
      <c r="H548" t="s">
        <v>371</v>
      </c>
      <c r="I548" t="s">
        <v>29</v>
      </c>
      <c r="J548">
        <v>0</v>
      </c>
      <c r="K548">
        <v>49</v>
      </c>
      <c r="L548" t="s">
        <v>369</v>
      </c>
      <c r="M548">
        <v>1925</v>
      </c>
      <c r="N548">
        <v>1.512044377624989</v>
      </c>
      <c r="O548">
        <v>7.4235466383397579</v>
      </c>
      <c r="P548">
        <v>3.1481855977326632</v>
      </c>
      <c r="Q548">
        <v>8.7154562808573246</v>
      </c>
      <c r="R548">
        <v>0</v>
      </c>
      <c r="S548" t="s">
        <v>322</v>
      </c>
      <c r="T548">
        <v>2018</v>
      </c>
      <c r="U548" s="1">
        <v>45901.600802198707</v>
      </c>
      <c r="V548" t="s">
        <v>32</v>
      </c>
      <c r="W548" t="s">
        <v>107</v>
      </c>
      <c r="X548">
        <v>1.3470650198860279</v>
      </c>
      <c r="Y548">
        <v>1.5233592756001491</v>
      </c>
      <c r="Z548">
        <v>2.5764533616602421</v>
      </c>
      <c r="AA548">
        <v>2.290909090909091</v>
      </c>
      <c r="AB548">
        <v>0.3470749077665341</v>
      </c>
    </row>
    <row r="549" spans="1:28" x14ac:dyDescent="0.25">
      <c r="A549">
        <v>3</v>
      </c>
      <c r="B549">
        <v>31</v>
      </c>
      <c r="C549">
        <v>10</v>
      </c>
      <c r="D549">
        <v>5706</v>
      </c>
      <c r="E549">
        <v>20</v>
      </c>
      <c r="F549">
        <v>6</v>
      </c>
      <c r="G549">
        <v>7.2988807987421751</v>
      </c>
      <c r="H549" t="s">
        <v>315</v>
      </c>
      <c r="I549" t="s">
        <v>35</v>
      </c>
      <c r="J549">
        <v>0</v>
      </c>
      <c r="K549">
        <v>56</v>
      </c>
      <c r="L549" t="s">
        <v>387</v>
      </c>
      <c r="M549">
        <v>1989</v>
      </c>
      <c r="N549">
        <v>2.2067444007843728</v>
      </c>
      <c r="O549">
        <v>11.845301015302541</v>
      </c>
      <c r="P549">
        <v>2.9863202590495348</v>
      </c>
      <c r="Q549">
        <v>12.223733441904191</v>
      </c>
      <c r="R549">
        <v>6</v>
      </c>
      <c r="S549" t="s">
        <v>322</v>
      </c>
      <c r="T549">
        <v>2018</v>
      </c>
      <c r="U549" s="1">
        <v>45901.600802198707</v>
      </c>
      <c r="V549" t="s">
        <v>32</v>
      </c>
      <c r="W549" t="s">
        <v>107</v>
      </c>
      <c r="X549">
        <v>0.84421662118010687</v>
      </c>
      <c r="Y549">
        <v>0.82204384006846465</v>
      </c>
      <c r="Z549">
        <v>-1.8453010153025411</v>
      </c>
      <c r="AA549">
        <v>2.5339366515837098</v>
      </c>
      <c r="AB549">
        <v>0.53598647128065802</v>
      </c>
    </row>
    <row r="550" spans="1:28" x14ac:dyDescent="0.25">
      <c r="A550">
        <v>4</v>
      </c>
      <c r="B550">
        <v>30</v>
      </c>
      <c r="C550">
        <v>10</v>
      </c>
      <c r="D550">
        <v>7059</v>
      </c>
      <c r="E550">
        <v>21</v>
      </c>
      <c r="F550">
        <v>10</v>
      </c>
      <c r="G550">
        <v>7.7457166332751513</v>
      </c>
      <c r="H550" t="s">
        <v>388</v>
      </c>
      <c r="I550" t="s">
        <v>35</v>
      </c>
      <c r="J550">
        <v>0</v>
      </c>
      <c r="K550">
        <v>55</v>
      </c>
      <c r="L550" t="s">
        <v>387</v>
      </c>
      <c r="M550">
        <v>1677</v>
      </c>
      <c r="N550">
        <v>3.1257003284990792</v>
      </c>
      <c r="O550">
        <v>7.7457166332751513</v>
      </c>
      <c r="P550">
        <v>2.009548701345921</v>
      </c>
      <c r="Q550">
        <v>11.81519959121942</v>
      </c>
      <c r="R550">
        <v>1</v>
      </c>
      <c r="S550" t="s">
        <v>322</v>
      </c>
      <c r="T550">
        <v>2018</v>
      </c>
      <c r="U550" s="1">
        <v>45901.600802198707</v>
      </c>
      <c r="V550" t="s">
        <v>32</v>
      </c>
      <c r="W550" t="s">
        <v>107</v>
      </c>
      <c r="X550">
        <v>1.291036126604552</v>
      </c>
      <c r="Y550">
        <v>1.291036126604552</v>
      </c>
      <c r="Z550">
        <v>2.2542833667248492</v>
      </c>
      <c r="AA550">
        <v>2.9516994633273699</v>
      </c>
      <c r="AB550">
        <v>0.41569141144589361</v>
      </c>
    </row>
    <row r="551" spans="1:28" x14ac:dyDescent="0.25">
      <c r="A551">
        <v>4</v>
      </c>
      <c r="B551">
        <v>31</v>
      </c>
      <c r="C551">
        <v>34</v>
      </c>
      <c r="D551">
        <v>227</v>
      </c>
      <c r="E551">
        <v>36</v>
      </c>
      <c r="F551">
        <v>29</v>
      </c>
      <c r="G551">
        <v>27.407881716266271</v>
      </c>
      <c r="H551" t="s">
        <v>299</v>
      </c>
      <c r="I551" t="s">
        <v>32</v>
      </c>
      <c r="J551">
        <v>0</v>
      </c>
      <c r="K551">
        <v>138</v>
      </c>
      <c r="L551" t="s">
        <v>323</v>
      </c>
      <c r="M551">
        <v>2763</v>
      </c>
      <c r="N551">
        <v>7.2711268737912178</v>
      </c>
      <c r="O551">
        <v>31.19676416367292</v>
      </c>
      <c r="P551">
        <v>9.7435015179216862</v>
      </c>
      <c r="Q551">
        <v>39.650422351434827</v>
      </c>
      <c r="R551">
        <v>5</v>
      </c>
      <c r="S551" t="s">
        <v>322</v>
      </c>
      <c r="T551">
        <v>2019</v>
      </c>
      <c r="U551" s="1">
        <v>45901.600802198707</v>
      </c>
      <c r="V551" t="s">
        <v>32</v>
      </c>
      <c r="W551" t="s">
        <v>122</v>
      </c>
      <c r="X551">
        <v>1.0898566217194829</v>
      </c>
      <c r="Y551">
        <v>1.0580897969502261</v>
      </c>
      <c r="Z551">
        <v>2.803235836327076</v>
      </c>
      <c r="AA551">
        <v>4.4951140065146582</v>
      </c>
      <c r="AB551">
        <v>1.0161812431163819</v>
      </c>
    </row>
    <row r="552" spans="1:28" x14ac:dyDescent="0.25">
      <c r="A552">
        <v>8</v>
      </c>
      <c r="B552">
        <v>34</v>
      </c>
      <c r="C552">
        <v>28</v>
      </c>
      <c r="D552">
        <v>65</v>
      </c>
      <c r="E552">
        <v>53</v>
      </c>
      <c r="F552">
        <v>25</v>
      </c>
      <c r="G552">
        <v>21.175240360200409</v>
      </c>
      <c r="H552" t="s">
        <v>361</v>
      </c>
      <c r="I552" t="s">
        <v>35</v>
      </c>
      <c r="J552">
        <v>0</v>
      </c>
      <c r="K552">
        <v>123</v>
      </c>
      <c r="L552" t="s">
        <v>362</v>
      </c>
      <c r="M552">
        <v>2825</v>
      </c>
      <c r="N552">
        <v>9.6759692393243313</v>
      </c>
      <c r="O552">
        <v>23.448499284684651</v>
      </c>
      <c r="P552">
        <v>7.9718038327991962</v>
      </c>
      <c r="Q552">
        <v>35.586395658552647</v>
      </c>
      <c r="R552">
        <v>4</v>
      </c>
      <c r="S552" t="s">
        <v>322</v>
      </c>
      <c r="T552">
        <v>2019</v>
      </c>
      <c r="U552" s="1">
        <v>45901.600802198707</v>
      </c>
      <c r="V552" t="s">
        <v>32</v>
      </c>
      <c r="W552" t="s">
        <v>122</v>
      </c>
      <c r="X552">
        <v>1.1941062692352411</v>
      </c>
      <c r="Y552">
        <v>1.1806241428545181</v>
      </c>
      <c r="Z552">
        <v>4.5515007153153491</v>
      </c>
      <c r="AA552">
        <v>3.9185840707964599</v>
      </c>
      <c r="AB552">
        <v>0.74703183561827202</v>
      </c>
    </row>
    <row r="553" spans="1:28" x14ac:dyDescent="0.25">
      <c r="A553">
        <v>16</v>
      </c>
      <c r="B553">
        <v>32</v>
      </c>
      <c r="C553">
        <v>17</v>
      </c>
      <c r="D553">
        <v>6345</v>
      </c>
      <c r="E553">
        <v>69</v>
      </c>
      <c r="F553">
        <v>17</v>
      </c>
      <c r="G553">
        <v>10.752354852855211</v>
      </c>
      <c r="H553" t="s">
        <v>389</v>
      </c>
      <c r="I553" t="s">
        <v>35</v>
      </c>
      <c r="J553">
        <v>0</v>
      </c>
      <c r="K553">
        <v>52</v>
      </c>
      <c r="L553" t="s">
        <v>326</v>
      </c>
      <c r="M553">
        <v>2284</v>
      </c>
      <c r="N553">
        <v>11.467584058642389</v>
      </c>
      <c r="O553">
        <v>10.752354852855211</v>
      </c>
      <c r="P553">
        <v>11.86617026664317</v>
      </c>
      <c r="Q553">
        <v>28.81959819234908</v>
      </c>
      <c r="R553">
        <v>2</v>
      </c>
      <c r="S553" t="s">
        <v>322</v>
      </c>
      <c r="T553">
        <v>2019</v>
      </c>
      <c r="U553" s="1">
        <v>45901.600802198707</v>
      </c>
      <c r="V553" t="s">
        <v>32</v>
      </c>
      <c r="W553" t="s">
        <v>122</v>
      </c>
      <c r="X553">
        <v>1.5810490104393999</v>
      </c>
      <c r="Y553">
        <v>1.5810490104393999</v>
      </c>
      <c r="Z553">
        <v>6.2476451471447936</v>
      </c>
      <c r="AA553">
        <v>2.0490367775831868</v>
      </c>
      <c r="AB553">
        <v>0.42369174113702651</v>
      </c>
    </row>
    <row r="554" spans="1:28" x14ac:dyDescent="0.25">
      <c r="A554">
        <v>3</v>
      </c>
      <c r="B554">
        <v>32</v>
      </c>
      <c r="C554">
        <v>16</v>
      </c>
      <c r="D554">
        <v>7052</v>
      </c>
      <c r="E554">
        <v>37</v>
      </c>
      <c r="F554">
        <v>12</v>
      </c>
      <c r="G554">
        <v>14.80736526101828</v>
      </c>
      <c r="H554" t="s">
        <v>382</v>
      </c>
      <c r="I554" t="s">
        <v>29</v>
      </c>
      <c r="J554">
        <v>0</v>
      </c>
      <c r="K554">
        <v>85</v>
      </c>
      <c r="L554" t="s">
        <v>325</v>
      </c>
      <c r="M554">
        <v>2736</v>
      </c>
      <c r="N554">
        <v>2.2143331877887249</v>
      </c>
      <c r="O554">
        <v>17.83846623450518</v>
      </c>
      <c r="P554">
        <v>5.0036120163276792</v>
      </c>
      <c r="Q554">
        <v>19.157783091068271</v>
      </c>
      <c r="R554">
        <v>7</v>
      </c>
      <c r="S554" t="s">
        <v>322</v>
      </c>
      <c r="T554">
        <v>2019</v>
      </c>
      <c r="U554" s="1">
        <v>45901.600802198707</v>
      </c>
      <c r="V554" t="s">
        <v>32</v>
      </c>
      <c r="W554" t="s">
        <v>122</v>
      </c>
      <c r="X554">
        <v>0.89693809936702928</v>
      </c>
      <c r="Y554">
        <v>0.81040750926777516</v>
      </c>
      <c r="Z554">
        <v>-1.838466234505177</v>
      </c>
      <c r="AA554">
        <v>2.7960526315789469</v>
      </c>
      <c r="AB554">
        <v>0.58679165245082821</v>
      </c>
    </row>
    <row r="555" spans="1:28" x14ac:dyDescent="0.25">
      <c r="A555">
        <v>0</v>
      </c>
      <c r="B555">
        <v>32</v>
      </c>
      <c r="C555">
        <v>15</v>
      </c>
      <c r="D555">
        <v>7060</v>
      </c>
      <c r="E555">
        <v>22</v>
      </c>
      <c r="F555">
        <v>11</v>
      </c>
      <c r="G555">
        <v>8.2661551646888256</v>
      </c>
      <c r="H555" t="s">
        <v>390</v>
      </c>
      <c r="I555" t="s">
        <v>29</v>
      </c>
      <c r="J555">
        <v>0</v>
      </c>
      <c r="K555">
        <v>73</v>
      </c>
      <c r="L555" t="s">
        <v>387</v>
      </c>
      <c r="M555">
        <v>2458</v>
      </c>
      <c r="N555">
        <v>1.0592177482321861</v>
      </c>
      <c r="O555">
        <v>11.296850126236681</v>
      </c>
      <c r="P555">
        <v>1.1452460400760169</v>
      </c>
      <c r="Q555">
        <v>8.5328145548701286</v>
      </c>
      <c r="R555">
        <v>4</v>
      </c>
      <c r="S555" t="s">
        <v>322</v>
      </c>
      <c r="T555">
        <v>2019</v>
      </c>
      <c r="U555" s="1">
        <v>45901.600802198707</v>
      </c>
      <c r="V555" t="s">
        <v>32</v>
      </c>
      <c r="W555" t="s">
        <v>122</v>
      </c>
      <c r="X555">
        <v>1.3278037534695479</v>
      </c>
      <c r="Y555">
        <v>1.330727500372791</v>
      </c>
      <c r="Z555">
        <v>3.7031498737633251</v>
      </c>
      <c r="AA555">
        <v>2.6729048006509362</v>
      </c>
      <c r="AB555">
        <v>0.41363568403633072</v>
      </c>
    </row>
    <row r="556" spans="1:28" x14ac:dyDescent="0.25">
      <c r="A556">
        <v>2</v>
      </c>
      <c r="B556">
        <v>29</v>
      </c>
      <c r="C556">
        <v>13</v>
      </c>
      <c r="D556">
        <v>48</v>
      </c>
      <c r="E556">
        <v>25</v>
      </c>
      <c r="F556">
        <v>13</v>
      </c>
      <c r="G556">
        <v>8.3346829973161221</v>
      </c>
      <c r="H556" t="s">
        <v>391</v>
      </c>
      <c r="I556" t="s">
        <v>29</v>
      </c>
      <c r="J556">
        <v>0</v>
      </c>
      <c r="K556">
        <v>60</v>
      </c>
      <c r="L556" t="s">
        <v>339</v>
      </c>
      <c r="M556">
        <v>2015</v>
      </c>
      <c r="N556">
        <v>2.0222347276285291</v>
      </c>
      <c r="O556">
        <v>8.3346829973161221</v>
      </c>
      <c r="P556">
        <v>3.3281732872128491</v>
      </c>
      <c r="Q556">
        <v>12.44419165793806</v>
      </c>
      <c r="R556">
        <v>5</v>
      </c>
      <c r="S556" t="s">
        <v>322</v>
      </c>
      <c r="T556">
        <v>2019</v>
      </c>
      <c r="U556" s="1">
        <v>45901.600802198707</v>
      </c>
      <c r="V556" t="s">
        <v>32</v>
      </c>
      <c r="W556" t="s">
        <v>122</v>
      </c>
      <c r="X556">
        <v>1.559747383816058</v>
      </c>
      <c r="Y556">
        <v>1.559747383816058</v>
      </c>
      <c r="Z556">
        <v>4.6653170026838779</v>
      </c>
      <c r="AA556">
        <v>2.679900744416873</v>
      </c>
      <c r="AB556">
        <v>0.3722687194831022</v>
      </c>
    </row>
    <row r="557" spans="1:28" x14ac:dyDescent="0.25">
      <c r="A557">
        <v>6</v>
      </c>
      <c r="B557">
        <v>33</v>
      </c>
      <c r="C557">
        <v>13</v>
      </c>
      <c r="D557">
        <v>306</v>
      </c>
      <c r="E557">
        <v>29</v>
      </c>
      <c r="F557">
        <v>12</v>
      </c>
      <c r="G557">
        <v>12.569648077711459</v>
      </c>
      <c r="H557" t="s">
        <v>368</v>
      </c>
      <c r="I557" t="s">
        <v>35</v>
      </c>
      <c r="J557">
        <v>0</v>
      </c>
      <c r="K557">
        <v>78</v>
      </c>
      <c r="L557" t="s">
        <v>341</v>
      </c>
      <c r="M557">
        <v>2762</v>
      </c>
      <c r="N557">
        <v>5.8579889293760061</v>
      </c>
      <c r="O557">
        <v>14.08520199917257</v>
      </c>
      <c r="P557">
        <v>1.62377629801631</v>
      </c>
      <c r="Q557">
        <v>17.57950815744698</v>
      </c>
      <c r="R557">
        <v>1</v>
      </c>
      <c r="S557" t="s">
        <v>322</v>
      </c>
      <c r="T557">
        <v>2019</v>
      </c>
      <c r="U557" s="1">
        <v>45901.600802198707</v>
      </c>
      <c r="V557" t="s">
        <v>32</v>
      </c>
      <c r="W557" t="s">
        <v>122</v>
      </c>
      <c r="X557">
        <v>0.92295445963527412</v>
      </c>
      <c r="Y557">
        <v>0.95468066614199276</v>
      </c>
      <c r="Z557">
        <v>-1.0852019991725681</v>
      </c>
      <c r="AA557">
        <v>2.541636495293266</v>
      </c>
      <c r="AB557">
        <v>0.45896748005993171</v>
      </c>
    </row>
    <row r="558" spans="1:28" x14ac:dyDescent="0.25">
      <c r="A558">
        <v>2</v>
      </c>
      <c r="B558">
        <v>32</v>
      </c>
      <c r="C558">
        <v>13</v>
      </c>
      <c r="D558">
        <v>1275</v>
      </c>
      <c r="E558">
        <v>28</v>
      </c>
      <c r="F558">
        <v>12</v>
      </c>
      <c r="G558">
        <v>10.43891722150147</v>
      </c>
      <c r="H558" t="s">
        <v>392</v>
      </c>
      <c r="I558" t="s">
        <v>35</v>
      </c>
      <c r="J558">
        <v>0</v>
      </c>
      <c r="K558">
        <v>71</v>
      </c>
      <c r="L558" t="s">
        <v>335</v>
      </c>
      <c r="M558">
        <v>2631</v>
      </c>
      <c r="N558">
        <v>2.7613996025174861</v>
      </c>
      <c r="O558">
        <v>11.19669717736542</v>
      </c>
      <c r="P558">
        <v>3.4947727173566818</v>
      </c>
      <c r="Q558">
        <v>13.35058901831508</v>
      </c>
      <c r="R558">
        <v>2</v>
      </c>
      <c r="S558" t="s">
        <v>322</v>
      </c>
      <c r="T558">
        <v>2019</v>
      </c>
      <c r="U558" s="1">
        <v>45901.600802198707</v>
      </c>
      <c r="V558" t="s">
        <v>32</v>
      </c>
      <c r="W558" t="s">
        <v>122</v>
      </c>
      <c r="X558">
        <v>1.161056675381025</v>
      </c>
      <c r="Y558">
        <v>1.1495445116935219</v>
      </c>
      <c r="Z558">
        <v>1.803302822634578</v>
      </c>
      <c r="AA558">
        <v>2.4287343215507411</v>
      </c>
      <c r="AB558">
        <v>0.3830113059532072</v>
      </c>
    </row>
    <row r="559" spans="1:28" x14ac:dyDescent="0.25">
      <c r="A559">
        <v>2</v>
      </c>
      <c r="B559">
        <v>15</v>
      </c>
      <c r="C559">
        <v>13</v>
      </c>
      <c r="D559">
        <v>8260</v>
      </c>
      <c r="E559">
        <v>9</v>
      </c>
      <c r="F559">
        <v>13</v>
      </c>
      <c r="G559">
        <v>8.8893573954701424</v>
      </c>
      <c r="H559" t="s">
        <v>151</v>
      </c>
      <c r="I559" t="s">
        <v>29</v>
      </c>
      <c r="J559">
        <v>0</v>
      </c>
      <c r="K559">
        <v>33</v>
      </c>
      <c r="L559" t="s">
        <v>326</v>
      </c>
      <c r="M559">
        <v>1061</v>
      </c>
      <c r="N559">
        <v>1.5264755114912989</v>
      </c>
      <c r="O559">
        <v>8.8893573954701424</v>
      </c>
      <c r="P559">
        <v>2.9849850805476308</v>
      </c>
      <c r="Q559">
        <v>11.366187927313151</v>
      </c>
      <c r="R559">
        <v>0</v>
      </c>
      <c r="S559" t="s">
        <v>322</v>
      </c>
      <c r="T559">
        <v>2019</v>
      </c>
      <c r="U559" s="1">
        <v>45901.600802198707</v>
      </c>
      <c r="V559" t="s">
        <v>32</v>
      </c>
      <c r="W559" t="s">
        <v>122</v>
      </c>
      <c r="X559">
        <v>1.4624229200892029</v>
      </c>
      <c r="Y559">
        <v>1.4624229200892029</v>
      </c>
      <c r="Z559">
        <v>4.1106426045298576</v>
      </c>
      <c r="AA559">
        <v>2.799245994344957</v>
      </c>
      <c r="AB559">
        <v>0.75404539641122792</v>
      </c>
    </row>
    <row r="560" spans="1:28" x14ac:dyDescent="0.25">
      <c r="A560">
        <v>2</v>
      </c>
      <c r="B560">
        <v>19</v>
      </c>
      <c r="C560">
        <v>12</v>
      </c>
      <c r="D560">
        <v>956</v>
      </c>
      <c r="E560">
        <v>28</v>
      </c>
      <c r="F560">
        <v>10</v>
      </c>
      <c r="G560">
        <v>8.3832164388149977</v>
      </c>
      <c r="H560" t="s">
        <v>364</v>
      </c>
      <c r="I560" t="s">
        <v>35</v>
      </c>
      <c r="J560">
        <v>0</v>
      </c>
      <c r="K560">
        <v>44</v>
      </c>
      <c r="L560" t="s">
        <v>365</v>
      </c>
      <c r="M560">
        <v>1411</v>
      </c>
      <c r="N560">
        <v>4.0241247485391796</v>
      </c>
      <c r="O560">
        <v>9.8987725656479597</v>
      </c>
      <c r="P560">
        <v>2.7658348642289639</v>
      </c>
      <c r="Q560">
        <v>11.39842699468136</v>
      </c>
      <c r="R560">
        <v>3</v>
      </c>
      <c r="S560" t="s">
        <v>322</v>
      </c>
      <c r="T560">
        <v>2019</v>
      </c>
      <c r="U560" s="1">
        <v>45901.600802198707</v>
      </c>
      <c r="V560" t="s">
        <v>32</v>
      </c>
      <c r="W560" t="s">
        <v>122</v>
      </c>
      <c r="X560">
        <v>1.2122715135050179</v>
      </c>
      <c r="Y560">
        <v>1.1928595751982689</v>
      </c>
      <c r="Z560">
        <v>2.1012274343520398</v>
      </c>
      <c r="AA560">
        <v>2.8065201984408219</v>
      </c>
      <c r="AB560">
        <v>0.63138875330142896</v>
      </c>
    </row>
    <row r="561" spans="1:28" x14ac:dyDescent="0.25">
      <c r="A561">
        <v>10</v>
      </c>
      <c r="B561">
        <v>31</v>
      </c>
      <c r="C561">
        <v>12</v>
      </c>
      <c r="D561">
        <v>993</v>
      </c>
      <c r="E561">
        <v>54</v>
      </c>
      <c r="F561">
        <v>12</v>
      </c>
      <c r="G561">
        <v>14.17248415201902</v>
      </c>
      <c r="H561" t="s">
        <v>370</v>
      </c>
      <c r="I561" t="s">
        <v>35</v>
      </c>
      <c r="J561">
        <v>0</v>
      </c>
      <c r="K561">
        <v>95</v>
      </c>
      <c r="L561" t="s">
        <v>323</v>
      </c>
      <c r="M561">
        <v>2221</v>
      </c>
      <c r="N561">
        <v>12.49870361015201</v>
      </c>
      <c r="O561">
        <v>14.17248415201902</v>
      </c>
      <c r="P561">
        <v>12.322837792336941</v>
      </c>
      <c r="Q561">
        <v>33.750422574579723</v>
      </c>
      <c r="R561">
        <v>0</v>
      </c>
      <c r="S561" t="s">
        <v>322</v>
      </c>
      <c r="T561">
        <v>2019</v>
      </c>
      <c r="U561" s="1">
        <v>45901.600802198707</v>
      </c>
      <c r="V561" t="s">
        <v>32</v>
      </c>
      <c r="W561" t="s">
        <v>122</v>
      </c>
      <c r="X561">
        <v>0.84671112497172696</v>
      </c>
      <c r="Y561">
        <v>0.84671112497172696</v>
      </c>
      <c r="Z561">
        <v>-2.1724841520190239</v>
      </c>
      <c r="AA561">
        <v>3.8496172895092302</v>
      </c>
      <c r="AB561">
        <v>0.57430147396745257</v>
      </c>
    </row>
    <row r="562" spans="1:28" x14ac:dyDescent="0.25">
      <c r="A562">
        <v>6</v>
      </c>
      <c r="B562">
        <v>30</v>
      </c>
      <c r="C562">
        <v>12</v>
      </c>
      <c r="D562">
        <v>5220</v>
      </c>
      <c r="E562">
        <v>58</v>
      </c>
      <c r="F562">
        <v>11</v>
      </c>
      <c r="G562">
        <v>9.3016239833086711</v>
      </c>
      <c r="H562" t="s">
        <v>168</v>
      </c>
      <c r="I562" t="s">
        <v>35</v>
      </c>
      <c r="J562">
        <v>0</v>
      </c>
      <c r="K562">
        <v>59</v>
      </c>
      <c r="L562" t="s">
        <v>331</v>
      </c>
      <c r="M562">
        <v>2467</v>
      </c>
      <c r="N562">
        <v>8.2840098328888416</v>
      </c>
      <c r="O562">
        <v>10.05915598385036</v>
      </c>
      <c r="P562">
        <v>9.8708192240446806</v>
      </c>
      <c r="Q562">
        <v>23.020573746412989</v>
      </c>
      <c r="R562">
        <v>3</v>
      </c>
      <c r="S562" t="s">
        <v>322</v>
      </c>
      <c r="T562">
        <v>2019</v>
      </c>
      <c r="U562" s="1">
        <v>45901.600802198707</v>
      </c>
      <c r="V562" t="s">
        <v>32</v>
      </c>
      <c r="W562" t="s">
        <v>122</v>
      </c>
      <c r="X562">
        <v>1.1929430281492399</v>
      </c>
      <c r="Y562">
        <v>1.182589192998877</v>
      </c>
      <c r="Z562">
        <v>1.9408440161496401</v>
      </c>
      <c r="AA562">
        <v>2.152411836238346</v>
      </c>
      <c r="AB562">
        <v>0.36697366783402202</v>
      </c>
    </row>
    <row r="563" spans="1:28" x14ac:dyDescent="0.25">
      <c r="A563">
        <v>3</v>
      </c>
      <c r="B563">
        <v>25</v>
      </c>
      <c r="C563">
        <v>12</v>
      </c>
      <c r="D563">
        <v>6170</v>
      </c>
      <c r="E563">
        <v>32</v>
      </c>
      <c r="F563">
        <v>11</v>
      </c>
      <c r="G563">
        <v>10.78013256564736</v>
      </c>
      <c r="H563" t="s">
        <v>393</v>
      </c>
      <c r="I563" t="s">
        <v>29</v>
      </c>
      <c r="J563">
        <v>0</v>
      </c>
      <c r="K563">
        <v>54</v>
      </c>
      <c r="L563" t="s">
        <v>321</v>
      </c>
      <c r="M563">
        <v>1575</v>
      </c>
      <c r="N563">
        <v>4.5552289560437202</v>
      </c>
      <c r="O563">
        <v>11.537909541279079</v>
      </c>
      <c r="P563">
        <v>1.550329075194895</v>
      </c>
      <c r="Q563">
        <v>14.23341874592006</v>
      </c>
      <c r="R563">
        <v>1</v>
      </c>
      <c r="S563" t="s">
        <v>322</v>
      </c>
      <c r="T563">
        <v>2019</v>
      </c>
      <c r="U563" s="1">
        <v>45901.600802198707</v>
      </c>
      <c r="V563" t="s">
        <v>32</v>
      </c>
      <c r="W563" t="s">
        <v>122</v>
      </c>
      <c r="X563">
        <v>1.0400497557263479</v>
      </c>
      <c r="Y563">
        <v>1.020395615082998</v>
      </c>
      <c r="Z563">
        <v>0.46209045872092253</v>
      </c>
      <c r="AA563">
        <v>3.0857142857142859</v>
      </c>
      <c r="AB563">
        <v>0.65930911664451863</v>
      </c>
    </row>
    <row r="564" spans="1:28" x14ac:dyDescent="0.25">
      <c r="A564">
        <v>1</v>
      </c>
      <c r="B564">
        <v>33</v>
      </c>
      <c r="C564">
        <v>12</v>
      </c>
      <c r="D564">
        <v>7880</v>
      </c>
      <c r="E564">
        <v>23</v>
      </c>
      <c r="F564">
        <v>11</v>
      </c>
      <c r="G564">
        <v>11.51045182347298</v>
      </c>
      <c r="H564" t="s">
        <v>394</v>
      </c>
      <c r="I564" t="s">
        <v>29</v>
      </c>
      <c r="J564">
        <v>0</v>
      </c>
      <c r="K564">
        <v>64</v>
      </c>
      <c r="L564" t="s">
        <v>395</v>
      </c>
      <c r="M564">
        <v>2705</v>
      </c>
      <c r="N564">
        <v>1.822499212808907</v>
      </c>
      <c r="O564">
        <v>13.026004776358601</v>
      </c>
      <c r="P564">
        <v>3.058128683827817</v>
      </c>
      <c r="Q564">
        <v>11.694142337888479</v>
      </c>
      <c r="R564">
        <v>5</v>
      </c>
      <c r="S564" t="s">
        <v>322</v>
      </c>
      <c r="T564">
        <v>2019</v>
      </c>
      <c r="U564" s="1">
        <v>45901.600802198707</v>
      </c>
      <c r="V564" t="s">
        <v>32</v>
      </c>
      <c r="W564" t="s">
        <v>122</v>
      </c>
      <c r="X564">
        <v>0.9212341163715263</v>
      </c>
      <c r="Y564">
        <v>0.95565318970085733</v>
      </c>
      <c r="Z564">
        <v>-1.026004776358604</v>
      </c>
      <c r="AA564">
        <v>2.1293900184842882</v>
      </c>
      <c r="AB564">
        <v>0.43339757111729182</v>
      </c>
    </row>
    <row r="565" spans="1:28" x14ac:dyDescent="0.25">
      <c r="A565">
        <v>5</v>
      </c>
      <c r="B565">
        <v>19</v>
      </c>
      <c r="C565">
        <v>11</v>
      </c>
      <c r="D565">
        <v>319</v>
      </c>
      <c r="E565">
        <v>22</v>
      </c>
      <c r="F565">
        <v>10</v>
      </c>
      <c r="G565">
        <v>8.3469481132924557</v>
      </c>
      <c r="H565" t="s">
        <v>353</v>
      </c>
      <c r="I565" t="s">
        <v>35</v>
      </c>
      <c r="J565">
        <v>0</v>
      </c>
      <c r="K565">
        <v>47</v>
      </c>
      <c r="L565" t="s">
        <v>326</v>
      </c>
      <c r="M565">
        <v>1505</v>
      </c>
      <c r="N565">
        <v>3.1338241957128048</v>
      </c>
      <c r="O565">
        <v>9.1046447902917862</v>
      </c>
      <c r="P565">
        <v>6.0545911137014627</v>
      </c>
      <c r="Q565">
        <v>16.012733042240139</v>
      </c>
      <c r="R565">
        <v>1</v>
      </c>
      <c r="S565" t="s">
        <v>322</v>
      </c>
      <c r="T565">
        <v>2019</v>
      </c>
      <c r="U565" s="1">
        <v>45901.600802198707</v>
      </c>
      <c r="V565" t="s">
        <v>32</v>
      </c>
      <c r="W565" t="s">
        <v>122</v>
      </c>
      <c r="X565">
        <v>1.2081745365540471</v>
      </c>
      <c r="Y565">
        <v>1.19804266952074</v>
      </c>
      <c r="Z565">
        <v>1.895355209708214</v>
      </c>
      <c r="AA565">
        <v>2.8106312292358799</v>
      </c>
      <c r="AB565">
        <v>0.54446380805731609</v>
      </c>
    </row>
    <row r="566" spans="1:28" x14ac:dyDescent="0.25">
      <c r="A566">
        <v>2</v>
      </c>
      <c r="B566">
        <v>34</v>
      </c>
      <c r="C566">
        <v>11</v>
      </c>
      <c r="D566">
        <v>4248</v>
      </c>
      <c r="E566">
        <v>34</v>
      </c>
      <c r="F566">
        <v>10</v>
      </c>
      <c r="G566">
        <v>7.9588259048759937</v>
      </c>
      <c r="H566" t="s">
        <v>371</v>
      </c>
      <c r="I566" t="s">
        <v>35</v>
      </c>
      <c r="J566">
        <v>0</v>
      </c>
      <c r="K566">
        <v>55</v>
      </c>
      <c r="L566" t="s">
        <v>369</v>
      </c>
      <c r="M566">
        <v>2415</v>
      </c>
      <c r="N566">
        <v>3.728946708142757</v>
      </c>
      <c r="O566">
        <v>8.7166023999452591</v>
      </c>
      <c r="P566">
        <v>3.0478852037340398</v>
      </c>
      <c r="Q566">
        <v>12.84362655878067</v>
      </c>
      <c r="R566">
        <v>1</v>
      </c>
      <c r="S566" t="s">
        <v>322</v>
      </c>
      <c r="T566">
        <v>2019</v>
      </c>
      <c r="U566" s="1">
        <v>45901.600802198707</v>
      </c>
      <c r="V566" t="s">
        <v>32</v>
      </c>
      <c r="W566" t="s">
        <v>122</v>
      </c>
      <c r="X566">
        <v>1.2619595910522521</v>
      </c>
      <c r="Y566">
        <v>1.2564667351089409</v>
      </c>
      <c r="Z566">
        <v>2.2833976000547409</v>
      </c>
      <c r="AA566">
        <v>2.0496894409937889</v>
      </c>
      <c r="AB566">
        <v>0.32484232546379849</v>
      </c>
    </row>
    <row r="567" spans="1:28" x14ac:dyDescent="0.25">
      <c r="A567">
        <v>2</v>
      </c>
      <c r="B567">
        <v>22</v>
      </c>
      <c r="C567">
        <v>10</v>
      </c>
      <c r="D567">
        <v>1236</v>
      </c>
      <c r="E567">
        <v>20</v>
      </c>
      <c r="F567">
        <v>10</v>
      </c>
      <c r="G567">
        <v>8.0242005288600922</v>
      </c>
      <c r="H567" t="s">
        <v>396</v>
      </c>
      <c r="I567" t="s">
        <v>29</v>
      </c>
      <c r="J567">
        <v>0</v>
      </c>
      <c r="K567">
        <v>53</v>
      </c>
      <c r="L567" t="s">
        <v>362</v>
      </c>
      <c r="M567">
        <v>1313</v>
      </c>
      <c r="N567">
        <v>2.9057473130524158</v>
      </c>
      <c r="O567">
        <v>8.0242005288600922</v>
      </c>
      <c r="P567">
        <v>1.83919519931078</v>
      </c>
      <c r="Q567">
        <v>8.0052807759493589</v>
      </c>
      <c r="R567">
        <v>3</v>
      </c>
      <c r="S567" t="s">
        <v>322</v>
      </c>
      <c r="T567">
        <v>2019</v>
      </c>
      <c r="U567" s="1">
        <v>45901.600802198707</v>
      </c>
      <c r="V567" t="s">
        <v>32</v>
      </c>
      <c r="W567" t="s">
        <v>122</v>
      </c>
      <c r="X567">
        <v>1.2462300716480961</v>
      </c>
      <c r="Y567">
        <v>1.2462300716480961</v>
      </c>
      <c r="Z567">
        <v>1.9757994711399081</v>
      </c>
      <c r="AA567">
        <v>3.6329017517136331</v>
      </c>
      <c r="AB567">
        <v>0.55002136146032621</v>
      </c>
    </row>
    <row r="568" spans="1:28" x14ac:dyDescent="0.25">
      <c r="A568">
        <v>10</v>
      </c>
      <c r="B568">
        <v>27</v>
      </c>
      <c r="C568">
        <v>10</v>
      </c>
      <c r="D568">
        <v>3310</v>
      </c>
      <c r="E568">
        <v>39</v>
      </c>
      <c r="F568">
        <v>10</v>
      </c>
      <c r="G568">
        <v>11.941495610401031</v>
      </c>
      <c r="H568" t="s">
        <v>386</v>
      </c>
      <c r="I568" t="s">
        <v>35</v>
      </c>
      <c r="J568">
        <v>2</v>
      </c>
      <c r="K568">
        <v>77</v>
      </c>
      <c r="L568" t="s">
        <v>333</v>
      </c>
      <c r="M568">
        <v>2159</v>
      </c>
      <c r="N568">
        <v>8.4204208124428988</v>
      </c>
      <c r="O568">
        <v>12.69919659011066</v>
      </c>
      <c r="P568">
        <v>4.5729079181328416</v>
      </c>
      <c r="Q568">
        <v>19.668483376502991</v>
      </c>
      <c r="R568">
        <v>0</v>
      </c>
      <c r="S568" t="s">
        <v>322</v>
      </c>
      <c r="T568">
        <v>2019</v>
      </c>
      <c r="U568" s="1">
        <v>45901.600802198707</v>
      </c>
      <c r="V568" t="s">
        <v>32</v>
      </c>
      <c r="W568" t="s">
        <v>122</v>
      </c>
      <c r="X568">
        <v>0.78745138946721838</v>
      </c>
      <c r="Y568">
        <v>0.83741604286903615</v>
      </c>
      <c r="Z568">
        <v>-2.69919659011066</v>
      </c>
      <c r="AA568">
        <v>3.2098193608151919</v>
      </c>
      <c r="AB568">
        <v>0.52937827378877234</v>
      </c>
    </row>
    <row r="569" spans="1:28" x14ac:dyDescent="0.25">
      <c r="A569">
        <v>8</v>
      </c>
      <c r="B569">
        <v>31</v>
      </c>
      <c r="C569">
        <v>10</v>
      </c>
      <c r="D569">
        <v>5992</v>
      </c>
      <c r="E569">
        <v>31</v>
      </c>
      <c r="F569">
        <v>10</v>
      </c>
      <c r="G569">
        <v>11.053867347538469</v>
      </c>
      <c r="H569" t="s">
        <v>397</v>
      </c>
      <c r="I569" t="s">
        <v>35</v>
      </c>
      <c r="J569">
        <v>0</v>
      </c>
      <c r="K569">
        <v>57</v>
      </c>
      <c r="L569" t="s">
        <v>333</v>
      </c>
      <c r="M569">
        <v>2225</v>
      </c>
      <c r="N569">
        <v>7.9446847103536129</v>
      </c>
      <c r="O569">
        <v>11.053867347538469</v>
      </c>
      <c r="P569">
        <v>4.3310688696801662</v>
      </c>
      <c r="Q569">
        <v>19.860421150922772</v>
      </c>
      <c r="R569">
        <v>3</v>
      </c>
      <c r="S569" t="s">
        <v>322</v>
      </c>
      <c r="T569">
        <v>2019</v>
      </c>
      <c r="U569" s="1">
        <v>45901.600802198707</v>
      </c>
      <c r="V569" t="s">
        <v>32</v>
      </c>
      <c r="W569" t="s">
        <v>122</v>
      </c>
      <c r="X569">
        <v>0.9046607567827244</v>
      </c>
      <c r="Y569">
        <v>0.9046607567827244</v>
      </c>
      <c r="Z569">
        <v>-1.053867347538471</v>
      </c>
      <c r="AA569">
        <v>2.3056179775280898</v>
      </c>
      <c r="AB569">
        <v>0.44712272417009552</v>
      </c>
    </row>
    <row r="570" spans="1:28" x14ac:dyDescent="0.25">
      <c r="A570">
        <v>7</v>
      </c>
      <c r="B570">
        <v>29</v>
      </c>
      <c r="C570">
        <v>41</v>
      </c>
      <c r="D570">
        <v>227</v>
      </c>
      <c r="E570">
        <v>32</v>
      </c>
      <c r="F570">
        <v>33</v>
      </c>
      <c r="G570">
        <v>25.25734955817461</v>
      </c>
      <c r="H570" t="s">
        <v>299</v>
      </c>
      <c r="I570" t="s">
        <v>29</v>
      </c>
      <c r="J570">
        <v>0</v>
      </c>
      <c r="K570">
        <v>135</v>
      </c>
      <c r="L570" t="s">
        <v>323</v>
      </c>
      <c r="M570">
        <v>2467</v>
      </c>
      <c r="N570">
        <v>4.8155500944703817</v>
      </c>
      <c r="O570">
        <v>32.077339433133602</v>
      </c>
      <c r="P570">
        <v>5.6893433760851622</v>
      </c>
      <c r="Q570">
        <v>31.740188181400299</v>
      </c>
      <c r="R570">
        <v>4</v>
      </c>
      <c r="S570" t="s">
        <v>322</v>
      </c>
      <c r="T570">
        <v>2020</v>
      </c>
      <c r="U570" s="1">
        <v>45901.600802198707</v>
      </c>
      <c r="V570" t="s">
        <v>32</v>
      </c>
      <c r="W570" t="s">
        <v>130</v>
      </c>
      <c r="X570">
        <v>1.278160867595207</v>
      </c>
      <c r="Y570">
        <v>1.3065503933416269</v>
      </c>
      <c r="Z570">
        <v>8.9226605668663979</v>
      </c>
      <c r="AA570">
        <v>4.9250101337657073</v>
      </c>
      <c r="AB570">
        <v>1.1702312723883359</v>
      </c>
    </row>
    <row r="571" spans="1:28" x14ac:dyDescent="0.25">
      <c r="A571">
        <v>5</v>
      </c>
      <c r="B571">
        <v>32</v>
      </c>
      <c r="C571">
        <v>28</v>
      </c>
      <c r="D571">
        <v>6170</v>
      </c>
      <c r="E571">
        <v>31</v>
      </c>
      <c r="F571">
        <v>21</v>
      </c>
      <c r="G571">
        <v>20.294785987585779</v>
      </c>
      <c r="H571" t="s">
        <v>393</v>
      </c>
      <c r="I571" t="s">
        <v>32</v>
      </c>
      <c r="J571">
        <v>0</v>
      </c>
      <c r="K571">
        <v>114</v>
      </c>
      <c r="L571" t="s">
        <v>321</v>
      </c>
      <c r="M571">
        <v>2787</v>
      </c>
      <c r="N571">
        <v>5.4670856548473239</v>
      </c>
      <c r="O571">
        <v>25.599131893366572</v>
      </c>
      <c r="P571">
        <v>4.0964294988661996</v>
      </c>
      <c r="Q571">
        <v>26.746589360758659</v>
      </c>
      <c r="R571">
        <v>1</v>
      </c>
      <c r="S571" t="s">
        <v>322</v>
      </c>
      <c r="T571">
        <v>2020</v>
      </c>
      <c r="U571" s="1">
        <v>45901.600802198707</v>
      </c>
      <c r="V571" t="s">
        <v>32</v>
      </c>
      <c r="W571" t="s">
        <v>130</v>
      </c>
      <c r="X571">
        <v>1.093787090774573</v>
      </c>
      <c r="Y571">
        <v>1.034748531610316</v>
      </c>
      <c r="Z571">
        <v>2.4008681066334279</v>
      </c>
      <c r="AA571">
        <v>3.6813778256189451</v>
      </c>
      <c r="AB571">
        <v>0.82666733778363521</v>
      </c>
    </row>
    <row r="572" spans="1:28" x14ac:dyDescent="0.25">
      <c r="A572">
        <v>6</v>
      </c>
      <c r="B572">
        <v>28</v>
      </c>
      <c r="C572">
        <v>27</v>
      </c>
      <c r="D572">
        <v>8260</v>
      </c>
      <c r="E572">
        <v>27</v>
      </c>
      <c r="F572">
        <v>25</v>
      </c>
      <c r="G572">
        <v>20.56736878305674</v>
      </c>
      <c r="H572" t="s">
        <v>151</v>
      </c>
      <c r="I572" t="s">
        <v>29</v>
      </c>
      <c r="J572">
        <v>0</v>
      </c>
      <c r="K572">
        <v>92</v>
      </c>
      <c r="L572" t="s">
        <v>326</v>
      </c>
      <c r="M572">
        <v>2416</v>
      </c>
      <c r="N572">
        <v>4.0354475677013397</v>
      </c>
      <c r="O572">
        <v>23.598483897745609</v>
      </c>
      <c r="P572">
        <v>5.8961893990635872</v>
      </c>
      <c r="Q572">
        <v>27.197287127375599</v>
      </c>
      <c r="R572">
        <v>2</v>
      </c>
      <c r="S572" t="s">
        <v>322</v>
      </c>
      <c r="T572">
        <v>2020</v>
      </c>
      <c r="U572" s="1">
        <v>45901.600802198707</v>
      </c>
      <c r="V572" t="s">
        <v>32</v>
      </c>
      <c r="W572" t="s">
        <v>130</v>
      </c>
      <c r="X572">
        <v>1.144141298101754</v>
      </c>
      <c r="Y572">
        <v>1.215517661189351</v>
      </c>
      <c r="Z572">
        <v>3.4015161022543912</v>
      </c>
      <c r="AA572">
        <v>3.427152317880795</v>
      </c>
      <c r="AB572">
        <v>0.87908259552860302</v>
      </c>
    </row>
    <row r="573" spans="1:28" x14ac:dyDescent="0.25">
      <c r="A573">
        <v>5</v>
      </c>
      <c r="B573">
        <v>28</v>
      </c>
      <c r="C573">
        <v>20</v>
      </c>
      <c r="D573">
        <v>956</v>
      </c>
      <c r="E573">
        <v>38</v>
      </c>
      <c r="F573">
        <v>15</v>
      </c>
      <c r="G573">
        <v>11.73673032596707</v>
      </c>
      <c r="H573" t="s">
        <v>364</v>
      </c>
      <c r="I573" t="s">
        <v>35</v>
      </c>
      <c r="J573">
        <v>0</v>
      </c>
      <c r="K573">
        <v>95</v>
      </c>
      <c r="L573" t="s">
        <v>365</v>
      </c>
      <c r="M573">
        <v>2386</v>
      </c>
      <c r="N573">
        <v>4.0724228313192734</v>
      </c>
      <c r="O573">
        <v>15.52560031786561</v>
      </c>
      <c r="P573">
        <v>5.372286731377244</v>
      </c>
      <c r="Q573">
        <v>18.05768814869225</v>
      </c>
      <c r="R573">
        <v>2</v>
      </c>
      <c r="S573" t="s">
        <v>322</v>
      </c>
      <c r="T573">
        <v>2020</v>
      </c>
      <c r="U573" s="1">
        <v>45901.600802198707</v>
      </c>
      <c r="V573" t="s">
        <v>32</v>
      </c>
      <c r="W573" t="s">
        <v>130</v>
      </c>
      <c r="X573">
        <v>1.288194954818308</v>
      </c>
      <c r="Y573">
        <v>1.278039077613726</v>
      </c>
      <c r="Z573">
        <v>4.4743996821343899</v>
      </c>
      <c r="AA573">
        <v>3.5834031852472759</v>
      </c>
      <c r="AB573">
        <v>0.58562616454648153</v>
      </c>
    </row>
    <row r="574" spans="1:28" x14ac:dyDescent="0.25">
      <c r="A574">
        <v>8</v>
      </c>
      <c r="B574">
        <v>34</v>
      </c>
      <c r="C574">
        <v>20</v>
      </c>
      <c r="D574">
        <v>7052</v>
      </c>
      <c r="E574">
        <v>45</v>
      </c>
      <c r="F574">
        <v>18</v>
      </c>
      <c r="G574">
        <v>16.037062140181661</v>
      </c>
      <c r="H574" t="s">
        <v>382</v>
      </c>
      <c r="I574" t="s">
        <v>29</v>
      </c>
      <c r="J574">
        <v>0</v>
      </c>
      <c r="K574">
        <v>93</v>
      </c>
      <c r="L574" t="s">
        <v>325</v>
      </c>
      <c r="M574">
        <v>2954</v>
      </c>
      <c r="N574">
        <v>5.4273104481399059</v>
      </c>
      <c r="O574">
        <v>18.310400219634172</v>
      </c>
      <c r="P574">
        <v>5.9548529498279086</v>
      </c>
      <c r="Q574">
        <v>24.294328788295392</v>
      </c>
      <c r="R574">
        <v>3</v>
      </c>
      <c r="S574" t="s">
        <v>322</v>
      </c>
      <c r="T574">
        <v>2020</v>
      </c>
      <c r="U574" s="1">
        <v>45901.600802198707</v>
      </c>
      <c r="V574" t="s">
        <v>32</v>
      </c>
      <c r="W574" t="s">
        <v>130</v>
      </c>
      <c r="X574">
        <v>1.0922754150700691</v>
      </c>
      <c r="Y574">
        <v>1.1224000906562619</v>
      </c>
      <c r="Z574">
        <v>1.689599780365828</v>
      </c>
      <c r="AA574">
        <v>2.8334461746784019</v>
      </c>
      <c r="AB574">
        <v>0.55786595117368842</v>
      </c>
    </row>
    <row r="575" spans="1:28" x14ac:dyDescent="0.25">
      <c r="A575">
        <v>5</v>
      </c>
      <c r="B575">
        <v>33</v>
      </c>
      <c r="C575">
        <v>16</v>
      </c>
      <c r="D575">
        <v>8812</v>
      </c>
      <c r="E575">
        <v>26</v>
      </c>
      <c r="F575">
        <v>16</v>
      </c>
      <c r="G575">
        <v>11.23824438638985</v>
      </c>
      <c r="H575" t="s">
        <v>398</v>
      </c>
      <c r="I575" t="s">
        <v>29</v>
      </c>
      <c r="J575">
        <v>0</v>
      </c>
      <c r="K575">
        <v>66</v>
      </c>
      <c r="L575" t="s">
        <v>352</v>
      </c>
      <c r="M575">
        <v>2146</v>
      </c>
      <c r="N575">
        <v>3.236812736839056</v>
      </c>
      <c r="O575">
        <v>11.23824438638985</v>
      </c>
      <c r="P575">
        <v>3.6061477558687329</v>
      </c>
      <c r="Q575">
        <v>15.165599668398499</v>
      </c>
      <c r="R575">
        <v>1</v>
      </c>
      <c r="S575" t="s">
        <v>322</v>
      </c>
      <c r="T575">
        <v>2020</v>
      </c>
      <c r="U575" s="1">
        <v>45901.600802198707</v>
      </c>
      <c r="V575" t="s">
        <v>32</v>
      </c>
      <c r="W575" t="s">
        <v>130</v>
      </c>
      <c r="X575">
        <v>1.4237099185507041</v>
      </c>
      <c r="Y575">
        <v>1.4237099185507041</v>
      </c>
      <c r="Z575">
        <v>4.7617556136101484</v>
      </c>
      <c r="AA575">
        <v>2.7679403541472509</v>
      </c>
      <c r="AB575">
        <v>0.4713150022251103</v>
      </c>
    </row>
    <row r="576" spans="1:28" x14ac:dyDescent="0.25">
      <c r="A576">
        <v>8</v>
      </c>
      <c r="B576">
        <v>30</v>
      </c>
      <c r="C576">
        <v>14</v>
      </c>
      <c r="D576">
        <v>208</v>
      </c>
      <c r="E576">
        <v>43</v>
      </c>
      <c r="F576">
        <v>8</v>
      </c>
      <c r="G576">
        <v>3.9068595040589571</v>
      </c>
      <c r="H576" t="s">
        <v>367</v>
      </c>
      <c r="I576" t="s">
        <v>35</v>
      </c>
      <c r="J576">
        <v>0</v>
      </c>
      <c r="K576">
        <v>56</v>
      </c>
      <c r="L576" t="s">
        <v>333</v>
      </c>
      <c r="M576">
        <v>1985</v>
      </c>
      <c r="N576">
        <v>3.7465235404670238</v>
      </c>
      <c r="O576">
        <v>9.2111333329230565</v>
      </c>
      <c r="P576">
        <v>4.1320261713117361</v>
      </c>
      <c r="Q576">
        <v>10.691832376644021</v>
      </c>
      <c r="R576">
        <v>6</v>
      </c>
      <c r="S576" t="s">
        <v>322</v>
      </c>
      <c r="T576">
        <v>2020</v>
      </c>
      <c r="U576" s="1">
        <v>45901.600802198707</v>
      </c>
      <c r="V576" t="s">
        <v>32</v>
      </c>
      <c r="W576" t="s">
        <v>130</v>
      </c>
      <c r="X576">
        <v>1.5198998314311929</v>
      </c>
      <c r="Y576">
        <v>2.0476804941893998</v>
      </c>
      <c r="Z576">
        <v>4.7888666670769444</v>
      </c>
      <c r="AA576">
        <v>2.5390428211586902</v>
      </c>
      <c r="AB576">
        <v>0.41763324935167512</v>
      </c>
    </row>
    <row r="577" spans="1:28" x14ac:dyDescent="0.25">
      <c r="A577">
        <v>5</v>
      </c>
      <c r="B577">
        <v>22</v>
      </c>
      <c r="C577">
        <v>11</v>
      </c>
      <c r="D577">
        <v>155</v>
      </c>
      <c r="E577">
        <v>37</v>
      </c>
      <c r="F577">
        <v>6</v>
      </c>
      <c r="G577">
        <v>2.903214318677783</v>
      </c>
      <c r="H577" t="s">
        <v>336</v>
      </c>
      <c r="I577" t="s">
        <v>35</v>
      </c>
      <c r="J577">
        <v>0</v>
      </c>
      <c r="K577">
        <v>30</v>
      </c>
      <c r="L577" t="s">
        <v>395</v>
      </c>
      <c r="M577">
        <v>1648</v>
      </c>
      <c r="N577">
        <v>4.1525421794503927</v>
      </c>
      <c r="O577">
        <v>7.4497113805264226</v>
      </c>
      <c r="P577">
        <v>4.0433649234473714</v>
      </c>
      <c r="Q577">
        <v>9.3344051986932755</v>
      </c>
      <c r="R577">
        <v>0</v>
      </c>
      <c r="S577" t="s">
        <v>322</v>
      </c>
      <c r="T577">
        <v>2020</v>
      </c>
      <c r="U577" s="1">
        <v>45901.600802198707</v>
      </c>
      <c r="V577" t="s">
        <v>32</v>
      </c>
      <c r="W577" t="s">
        <v>130</v>
      </c>
      <c r="X577">
        <v>1.4765672706132009</v>
      </c>
      <c r="Y577">
        <v>2.0666748442920988</v>
      </c>
      <c r="Z577">
        <v>3.550288619473577</v>
      </c>
      <c r="AA577">
        <v>1.6383495145631071</v>
      </c>
      <c r="AB577">
        <v>0.40684103413069062</v>
      </c>
    </row>
    <row r="578" spans="1:28" x14ac:dyDescent="0.25">
      <c r="A578">
        <v>2</v>
      </c>
      <c r="B578">
        <v>25</v>
      </c>
      <c r="C578">
        <v>11</v>
      </c>
      <c r="D578">
        <v>6338</v>
      </c>
      <c r="E578">
        <v>15</v>
      </c>
      <c r="F578">
        <v>9</v>
      </c>
      <c r="G578">
        <v>5.7697967179119587</v>
      </c>
      <c r="H578" t="s">
        <v>399</v>
      </c>
      <c r="I578" t="s">
        <v>29</v>
      </c>
      <c r="J578">
        <v>0</v>
      </c>
      <c r="K578">
        <v>41</v>
      </c>
      <c r="L578" t="s">
        <v>331</v>
      </c>
      <c r="M578">
        <v>1238</v>
      </c>
      <c r="N578">
        <v>0.92522919923067082</v>
      </c>
      <c r="O578">
        <v>7.2853507287800312</v>
      </c>
      <c r="P578">
        <v>1.906717708334327</v>
      </c>
      <c r="Q578">
        <v>8.0921615287661552</v>
      </c>
      <c r="R578">
        <v>2</v>
      </c>
      <c r="S578" t="s">
        <v>322</v>
      </c>
      <c r="T578">
        <v>2020</v>
      </c>
      <c r="U578" s="1">
        <v>45901.600802198707</v>
      </c>
      <c r="V578" t="s">
        <v>32</v>
      </c>
      <c r="W578" t="s">
        <v>130</v>
      </c>
      <c r="X578">
        <v>1.509879264500696</v>
      </c>
      <c r="Y578">
        <v>1.5598469824872829</v>
      </c>
      <c r="Z578">
        <v>3.7146492712199688</v>
      </c>
      <c r="AA578">
        <v>2.9806138933764128</v>
      </c>
      <c r="AB578">
        <v>0.52962969756882294</v>
      </c>
    </row>
    <row r="579" spans="1:28" x14ac:dyDescent="0.25">
      <c r="A579">
        <v>3</v>
      </c>
      <c r="B579">
        <v>34</v>
      </c>
      <c r="C579">
        <v>35</v>
      </c>
      <c r="D579">
        <v>227</v>
      </c>
      <c r="E579">
        <v>37</v>
      </c>
      <c r="F579">
        <v>30</v>
      </c>
      <c r="G579">
        <v>34.135184742510319</v>
      </c>
      <c r="H579" t="s">
        <v>299</v>
      </c>
      <c r="I579" t="s">
        <v>32</v>
      </c>
      <c r="J579">
        <v>0</v>
      </c>
      <c r="K579">
        <v>160</v>
      </c>
      <c r="L579" t="s">
        <v>323</v>
      </c>
      <c r="M579">
        <v>2955</v>
      </c>
      <c r="N579">
        <v>4.7012906102463603</v>
      </c>
      <c r="O579">
        <v>37.924069441854961</v>
      </c>
      <c r="P579">
        <v>7.8270499762147674</v>
      </c>
      <c r="Q579">
        <v>41.541004583239562</v>
      </c>
      <c r="R579">
        <v>2</v>
      </c>
      <c r="S579" t="s">
        <v>322</v>
      </c>
      <c r="T579">
        <v>2021</v>
      </c>
      <c r="U579" s="1">
        <v>45901.600802198707</v>
      </c>
      <c r="V579" t="s">
        <v>32</v>
      </c>
      <c r="W579" t="s">
        <v>138</v>
      </c>
      <c r="X579">
        <v>0.92289673853861776</v>
      </c>
      <c r="Y579">
        <v>0.87885858026833652</v>
      </c>
      <c r="Z579">
        <v>-2.9240694418549609</v>
      </c>
      <c r="AA579">
        <v>4.8730964467005071</v>
      </c>
      <c r="AB579">
        <v>1.1550478002595419</v>
      </c>
    </row>
    <row r="580" spans="1:28" x14ac:dyDescent="0.25">
      <c r="A580">
        <v>3</v>
      </c>
      <c r="B580">
        <v>27</v>
      </c>
      <c r="C580">
        <v>24</v>
      </c>
      <c r="D580">
        <v>1236</v>
      </c>
      <c r="E580">
        <v>16</v>
      </c>
      <c r="F580">
        <v>23</v>
      </c>
      <c r="G580">
        <v>18.489641444757581</v>
      </c>
      <c r="H580" t="s">
        <v>396</v>
      </c>
      <c r="I580" t="s">
        <v>29</v>
      </c>
      <c r="J580">
        <v>0</v>
      </c>
      <c r="K580">
        <v>90</v>
      </c>
      <c r="L580" t="s">
        <v>331</v>
      </c>
      <c r="M580">
        <v>2127</v>
      </c>
      <c r="N580">
        <v>2.0758216315880418</v>
      </c>
      <c r="O580">
        <v>20.00518851168454</v>
      </c>
      <c r="P580">
        <v>3.1471521332860002</v>
      </c>
      <c r="Q580">
        <v>20.31517361104488</v>
      </c>
      <c r="R580">
        <v>0</v>
      </c>
      <c r="S580" t="s">
        <v>322</v>
      </c>
      <c r="T580">
        <v>2021</v>
      </c>
      <c r="U580" s="1">
        <v>45901.600802198707</v>
      </c>
      <c r="V580" t="s">
        <v>32</v>
      </c>
      <c r="W580" t="s">
        <v>138</v>
      </c>
      <c r="X580">
        <v>1.1996887700399419</v>
      </c>
      <c r="Y580">
        <v>1.243939752359084</v>
      </c>
      <c r="Z580">
        <v>3.9948114883154631</v>
      </c>
      <c r="AA580">
        <v>3.8081805359661489</v>
      </c>
      <c r="AB580">
        <v>0.84648188342811859</v>
      </c>
    </row>
    <row r="581" spans="1:28" x14ac:dyDescent="0.25">
      <c r="A581">
        <v>7</v>
      </c>
      <c r="B581">
        <v>24</v>
      </c>
      <c r="C581">
        <v>22</v>
      </c>
      <c r="D581">
        <v>8260</v>
      </c>
      <c r="E581">
        <v>23</v>
      </c>
      <c r="F581">
        <v>16</v>
      </c>
      <c r="G581">
        <v>12.484372556209561</v>
      </c>
      <c r="H581" t="s">
        <v>151</v>
      </c>
      <c r="I581" t="s">
        <v>29</v>
      </c>
      <c r="J581">
        <v>0</v>
      </c>
      <c r="K581">
        <v>80</v>
      </c>
      <c r="L581" t="s">
        <v>326</v>
      </c>
      <c r="M581">
        <v>1917</v>
      </c>
      <c r="N581">
        <v>5.8940020650625229</v>
      </c>
      <c r="O581">
        <v>17.03095360100269</v>
      </c>
      <c r="P581">
        <v>4.2647344414144754</v>
      </c>
      <c r="Q581">
        <v>19.772441577166319</v>
      </c>
      <c r="R581">
        <v>3</v>
      </c>
      <c r="S581" t="s">
        <v>322</v>
      </c>
      <c r="T581">
        <v>2021</v>
      </c>
      <c r="U581" s="1">
        <v>45901.600802198707</v>
      </c>
      <c r="V581" t="s">
        <v>32</v>
      </c>
      <c r="W581" t="s">
        <v>138</v>
      </c>
      <c r="X581">
        <v>1.291765600177829</v>
      </c>
      <c r="Y581">
        <v>1.2816022533741041</v>
      </c>
      <c r="Z581">
        <v>4.9690463989973068</v>
      </c>
      <c r="AA581">
        <v>3.755868544600939</v>
      </c>
      <c r="AB581">
        <v>0.79957528643205134</v>
      </c>
    </row>
    <row r="582" spans="1:28" x14ac:dyDescent="0.25">
      <c r="A582">
        <v>3</v>
      </c>
      <c r="B582">
        <v>32</v>
      </c>
      <c r="C582">
        <v>20</v>
      </c>
      <c r="D582">
        <v>137</v>
      </c>
      <c r="E582">
        <v>20</v>
      </c>
      <c r="F582">
        <v>19</v>
      </c>
      <c r="G582">
        <v>15.560875460505491</v>
      </c>
      <c r="H582" t="s">
        <v>345</v>
      </c>
      <c r="I582" t="s">
        <v>29</v>
      </c>
      <c r="J582">
        <v>0</v>
      </c>
      <c r="K582">
        <v>107</v>
      </c>
      <c r="L582" t="s">
        <v>339</v>
      </c>
      <c r="M582">
        <v>2639</v>
      </c>
      <c r="N582">
        <v>3.3105535116046672</v>
      </c>
      <c r="O582">
        <v>16.318575546145439</v>
      </c>
      <c r="P582">
        <v>1.7279817881062629</v>
      </c>
      <c r="Q582">
        <v>18.018614757806059</v>
      </c>
      <c r="R582">
        <v>3</v>
      </c>
      <c r="S582" t="s">
        <v>322</v>
      </c>
      <c r="T582">
        <v>2021</v>
      </c>
      <c r="U582" s="1">
        <v>45901.600802198707</v>
      </c>
      <c r="V582" t="s">
        <v>32</v>
      </c>
      <c r="W582" t="s">
        <v>138</v>
      </c>
      <c r="X582">
        <v>1.2255971695228109</v>
      </c>
      <c r="Y582">
        <v>1.2210109931297399</v>
      </c>
      <c r="Z582">
        <v>3.6814244538545609</v>
      </c>
      <c r="AA582">
        <v>3.649109511178477</v>
      </c>
      <c r="AB582">
        <v>0.55652588069461517</v>
      </c>
    </row>
    <row r="583" spans="1:28" x14ac:dyDescent="0.25">
      <c r="A583">
        <v>13</v>
      </c>
      <c r="B583">
        <v>34</v>
      </c>
      <c r="C583">
        <v>20</v>
      </c>
      <c r="D583">
        <v>3300</v>
      </c>
      <c r="E583">
        <v>63</v>
      </c>
      <c r="F583">
        <v>19</v>
      </c>
      <c r="G583">
        <v>14.8317897953093</v>
      </c>
      <c r="H583" t="s">
        <v>400</v>
      </c>
      <c r="I583" t="s">
        <v>35</v>
      </c>
      <c r="J583">
        <v>0</v>
      </c>
      <c r="K583">
        <v>82</v>
      </c>
      <c r="L583" t="s">
        <v>362</v>
      </c>
      <c r="M583">
        <v>2750</v>
      </c>
      <c r="N583">
        <v>9.910539161413908</v>
      </c>
      <c r="O583">
        <v>15.58956778421998</v>
      </c>
      <c r="P583">
        <v>6.8174604345113039</v>
      </c>
      <c r="Q583">
        <v>28.345620878040791</v>
      </c>
      <c r="R583">
        <v>2</v>
      </c>
      <c r="S583" t="s">
        <v>322</v>
      </c>
      <c r="T583">
        <v>2021</v>
      </c>
      <c r="U583" s="1">
        <v>45901.600802198707</v>
      </c>
      <c r="V583" t="s">
        <v>32</v>
      </c>
      <c r="W583" t="s">
        <v>138</v>
      </c>
      <c r="X583">
        <v>1.282909204207979</v>
      </c>
      <c r="Y583">
        <v>1.281032179003031</v>
      </c>
      <c r="Z583">
        <v>4.4104322157800198</v>
      </c>
      <c r="AA583">
        <v>2.683636363636364</v>
      </c>
      <c r="AB583">
        <v>0.51020403657447211</v>
      </c>
    </row>
    <row r="584" spans="1:28" x14ac:dyDescent="0.25">
      <c r="A584">
        <v>1</v>
      </c>
      <c r="B584">
        <v>31</v>
      </c>
      <c r="C584">
        <v>15</v>
      </c>
      <c r="D584">
        <v>7814</v>
      </c>
      <c r="E584">
        <v>27</v>
      </c>
      <c r="F584">
        <v>13</v>
      </c>
      <c r="G584">
        <v>13.33468988165259</v>
      </c>
      <c r="H584" t="s">
        <v>159</v>
      </c>
      <c r="I584" t="s">
        <v>29</v>
      </c>
      <c r="J584">
        <v>0</v>
      </c>
      <c r="K584">
        <v>67</v>
      </c>
      <c r="L584" t="s">
        <v>395</v>
      </c>
      <c r="M584">
        <v>2227</v>
      </c>
      <c r="N584">
        <v>2.3190560005605221</v>
      </c>
      <c r="O584">
        <v>14.85024681314826</v>
      </c>
      <c r="P584">
        <v>4.1540743056684732</v>
      </c>
      <c r="Q584">
        <v>17.147334314882759</v>
      </c>
      <c r="R584">
        <v>1</v>
      </c>
      <c r="S584" t="s">
        <v>322</v>
      </c>
      <c r="T584">
        <v>2021</v>
      </c>
      <c r="U584" s="1">
        <v>45901.600802198707</v>
      </c>
      <c r="V584" t="s">
        <v>32</v>
      </c>
      <c r="W584" t="s">
        <v>138</v>
      </c>
      <c r="X584">
        <v>1.0100842220830399</v>
      </c>
      <c r="Y584">
        <v>0.97490081249560223</v>
      </c>
      <c r="Z584">
        <v>0.14975318685173991</v>
      </c>
      <c r="AA584">
        <v>2.7076784912438261</v>
      </c>
      <c r="AB584">
        <v>0.60014468486005546</v>
      </c>
    </row>
    <row r="585" spans="1:28" x14ac:dyDescent="0.25">
      <c r="A585">
        <v>12</v>
      </c>
      <c r="B585">
        <v>32</v>
      </c>
      <c r="C585">
        <v>13</v>
      </c>
      <c r="D585">
        <v>6556</v>
      </c>
      <c r="E585">
        <v>61</v>
      </c>
      <c r="F585">
        <v>13</v>
      </c>
      <c r="G585">
        <v>8.0728664956986904</v>
      </c>
      <c r="H585" t="s">
        <v>401</v>
      </c>
      <c r="I585" t="s">
        <v>49</v>
      </c>
      <c r="J585">
        <v>1</v>
      </c>
      <c r="K585">
        <v>54</v>
      </c>
      <c r="L585" t="s">
        <v>331</v>
      </c>
      <c r="M585">
        <v>2793</v>
      </c>
      <c r="N585">
        <v>10.12642007507384</v>
      </c>
      <c r="O585">
        <v>8.8306434713304043</v>
      </c>
      <c r="P585">
        <v>10.38131113629788</v>
      </c>
      <c r="Q585">
        <v>26.786522515118119</v>
      </c>
      <c r="R585">
        <v>8</v>
      </c>
      <c r="S585" t="s">
        <v>322</v>
      </c>
      <c r="T585">
        <v>2021</v>
      </c>
      <c r="U585" s="1">
        <v>45901.600802198707</v>
      </c>
      <c r="V585" t="s">
        <v>32</v>
      </c>
      <c r="W585" t="s">
        <v>138</v>
      </c>
      <c r="X585">
        <v>1.472146400452679</v>
      </c>
      <c r="Y585">
        <v>1.61033258842154</v>
      </c>
      <c r="Z585">
        <v>4.1693565286695957</v>
      </c>
      <c r="AA585">
        <v>1.740064446831364</v>
      </c>
      <c r="AB585">
        <v>0.28455349531676921</v>
      </c>
    </row>
    <row r="586" spans="1:28" x14ac:dyDescent="0.25">
      <c r="A586">
        <v>5</v>
      </c>
      <c r="B586">
        <v>30</v>
      </c>
      <c r="C586">
        <v>12</v>
      </c>
      <c r="D586">
        <v>155</v>
      </c>
      <c r="E586">
        <v>43</v>
      </c>
      <c r="F586">
        <v>7</v>
      </c>
      <c r="G586">
        <v>6.7926688268780708</v>
      </c>
      <c r="H586" t="s">
        <v>336</v>
      </c>
      <c r="I586" t="s">
        <v>49</v>
      </c>
      <c r="J586">
        <v>0</v>
      </c>
      <c r="K586">
        <v>50</v>
      </c>
      <c r="L586" t="s">
        <v>402</v>
      </c>
      <c r="M586">
        <v>2445</v>
      </c>
      <c r="N586">
        <v>6.6624258002266288</v>
      </c>
      <c r="O586">
        <v>10.581552218645809</v>
      </c>
      <c r="P586">
        <v>5.9823640193790197</v>
      </c>
      <c r="Q586">
        <v>17.130861222743992</v>
      </c>
      <c r="R586">
        <v>1</v>
      </c>
      <c r="S586" t="s">
        <v>322</v>
      </c>
      <c r="T586">
        <v>2021</v>
      </c>
      <c r="U586" s="1">
        <v>45901.600802198707</v>
      </c>
      <c r="V586" t="s">
        <v>32</v>
      </c>
      <c r="W586" t="s">
        <v>138</v>
      </c>
      <c r="X586">
        <v>1.1340491217209829</v>
      </c>
      <c r="Y586">
        <v>1.030522785433251</v>
      </c>
      <c r="Z586">
        <v>1.4184477813541869</v>
      </c>
      <c r="AA586">
        <v>1.8404907975460121</v>
      </c>
      <c r="AB586">
        <v>0.38950498964340408</v>
      </c>
    </row>
    <row r="587" spans="1:28" x14ac:dyDescent="0.25">
      <c r="A587">
        <v>3</v>
      </c>
      <c r="B587">
        <v>33</v>
      </c>
      <c r="C587">
        <v>11</v>
      </c>
      <c r="D587">
        <v>6170</v>
      </c>
      <c r="E587">
        <v>16</v>
      </c>
      <c r="F587">
        <v>8</v>
      </c>
      <c r="G587">
        <v>12.42950491979718</v>
      </c>
      <c r="H587" t="s">
        <v>393</v>
      </c>
      <c r="I587" t="s">
        <v>29</v>
      </c>
      <c r="J587">
        <v>0</v>
      </c>
      <c r="K587">
        <v>58</v>
      </c>
      <c r="L587" t="s">
        <v>362</v>
      </c>
      <c r="M587">
        <v>2091</v>
      </c>
      <c r="N587">
        <v>3.356619156897068</v>
      </c>
      <c r="O587">
        <v>14.70283840224147</v>
      </c>
      <c r="P587">
        <v>6.5429135840386152</v>
      </c>
      <c r="Q587">
        <v>18.845169039443132</v>
      </c>
      <c r="R587">
        <v>1</v>
      </c>
      <c r="S587" t="s">
        <v>322</v>
      </c>
      <c r="T587">
        <v>2021</v>
      </c>
      <c r="U587" s="1">
        <v>45901.600802198707</v>
      </c>
      <c r="V587" t="s">
        <v>32</v>
      </c>
      <c r="W587" t="s">
        <v>138</v>
      </c>
      <c r="X587">
        <v>0.74815485956256134</v>
      </c>
      <c r="Y587">
        <v>0.64362981885609483</v>
      </c>
      <c r="Z587">
        <v>-3.702838402241468</v>
      </c>
      <c r="AA587">
        <v>2.4964131994261121</v>
      </c>
      <c r="AB587">
        <v>0.63283379062732292</v>
      </c>
    </row>
    <row r="588" spans="1:28" x14ac:dyDescent="0.25">
      <c r="A588">
        <v>3</v>
      </c>
      <c r="B588">
        <v>34</v>
      </c>
      <c r="C588">
        <v>11</v>
      </c>
      <c r="D588">
        <v>7108</v>
      </c>
      <c r="E588">
        <v>33</v>
      </c>
      <c r="F588">
        <v>10</v>
      </c>
      <c r="G588">
        <v>12.80769708938897</v>
      </c>
      <c r="H588" t="s">
        <v>403</v>
      </c>
      <c r="I588" t="s">
        <v>35</v>
      </c>
      <c r="J588">
        <v>0</v>
      </c>
      <c r="K588">
        <v>81</v>
      </c>
      <c r="L588" t="s">
        <v>335</v>
      </c>
      <c r="M588">
        <v>2678</v>
      </c>
      <c r="N588">
        <v>2.9118185080587859</v>
      </c>
      <c r="O588">
        <v>13.565473051741719</v>
      </c>
      <c r="P588">
        <v>3.3237849306315179</v>
      </c>
      <c r="Q588">
        <v>17.72021588683128</v>
      </c>
      <c r="R588">
        <v>0</v>
      </c>
      <c r="S588" t="s">
        <v>322</v>
      </c>
      <c r="T588">
        <v>2021</v>
      </c>
      <c r="U588" s="1">
        <v>45901.600802198707</v>
      </c>
      <c r="V588" t="s">
        <v>32</v>
      </c>
      <c r="W588" t="s">
        <v>138</v>
      </c>
      <c r="X588">
        <v>0.81088215339366077</v>
      </c>
      <c r="Y588">
        <v>0.78078048927975396</v>
      </c>
      <c r="Z588">
        <v>-2.5654730517417188</v>
      </c>
      <c r="AA588">
        <v>2.7221807318894702</v>
      </c>
      <c r="AB588">
        <v>0.45589715259774261</v>
      </c>
    </row>
    <row r="589" spans="1:28" x14ac:dyDescent="0.25">
      <c r="A589">
        <v>6</v>
      </c>
      <c r="B589">
        <v>33</v>
      </c>
      <c r="C589">
        <v>10</v>
      </c>
      <c r="D589">
        <v>3310</v>
      </c>
      <c r="E589">
        <v>55</v>
      </c>
      <c r="F589">
        <v>7</v>
      </c>
      <c r="G589">
        <v>6.6960696410387754</v>
      </c>
      <c r="H589" t="s">
        <v>386</v>
      </c>
      <c r="I589" t="s">
        <v>35</v>
      </c>
      <c r="J589">
        <v>0</v>
      </c>
      <c r="K589">
        <v>61</v>
      </c>
      <c r="L589" t="s">
        <v>333</v>
      </c>
      <c r="M589">
        <v>2074</v>
      </c>
      <c r="N589">
        <v>8.7805841825902462</v>
      </c>
      <c r="O589">
        <v>8.9693999569863081</v>
      </c>
      <c r="P589">
        <v>7.4680196139961481</v>
      </c>
      <c r="Q589">
        <v>18.875654755160209</v>
      </c>
      <c r="R589">
        <v>4</v>
      </c>
      <c r="S589" t="s">
        <v>322</v>
      </c>
      <c r="T589">
        <v>2021</v>
      </c>
      <c r="U589" s="1">
        <v>45901.600802198707</v>
      </c>
      <c r="V589" t="s">
        <v>32</v>
      </c>
      <c r="W589" t="s">
        <v>138</v>
      </c>
      <c r="X589">
        <v>1.11490178250006</v>
      </c>
      <c r="Y589">
        <v>1.0453893664872449</v>
      </c>
      <c r="Z589">
        <v>1.0306000430136919</v>
      </c>
      <c r="AA589">
        <v>2.6470588235294121</v>
      </c>
      <c r="AB589">
        <v>0.38922179176893329</v>
      </c>
    </row>
    <row r="590" spans="1:28" x14ac:dyDescent="0.25">
      <c r="A590">
        <v>1</v>
      </c>
      <c r="B590">
        <v>33</v>
      </c>
      <c r="C590">
        <v>10</v>
      </c>
      <c r="D590">
        <v>7881</v>
      </c>
      <c r="E590">
        <v>28</v>
      </c>
      <c r="F590">
        <v>9</v>
      </c>
      <c r="G590">
        <v>9.4230018369853497</v>
      </c>
      <c r="H590" t="s">
        <v>404</v>
      </c>
      <c r="I590" t="s">
        <v>29</v>
      </c>
      <c r="J590">
        <v>0</v>
      </c>
      <c r="K590">
        <v>56</v>
      </c>
      <c r="L590" t="s">
        <v>405</v>
      </c>
      <c r="M590">
        <v>2349</v>
      </c>
      <c r="N590">
        <v>2.0615441119298339</v>
      </c>
      <c r="O590">
        <v>10.938555587083099</v>
      </c>
      <c r="P590">
        <v>2.393622392788529</v>
      </c>
      <c r="Q590">
        <v>11.74797475524247</v>
      </c>
      <c r="R590">
        <v>2</v>
      </c>
      <c r="S590" t="s">
        <v>322</v>
      </c>
      <c r="T590">
        <v>2021</v>
      </c>
      <c r="U590" s="1">
        <v>45901.600802198707</v>
      </c>
      <c r="V590" t="s">
        <v>32</v>
      </c>
      <c r="W590" t="s">
        <v>138</v>
      </c>
      <c r="X590">
        <v>0.91419748433774917</v>
      </c>
      <c r="Y590">
        <v>0.95510965143558979</v>
      </c>
      <c r="Z590">
        <v>-0.9385555870830995</v>
      </c>
      <c r="AA590">
        <v>2.1455938697318011</v>
      </c>
      <c r="AB590">
        <v>0.41910174663153638</v>
      </c>
    </row>
    <row r="591" spans="1:28" x14ac:dyDescent="0.25">
      <c r="A591">
        <v>4</v>
      </c>
      <c r="B591">
        <v>25</v>
      </c>
      <c r="C591">
        <v>16</v>
      </c>
      <c r="D591">
        <v>3300</v>
      </c>
      <c r="E591">
        <v>38</v>
      </c>
      <c r="F591">
        <v>13</v>
      </c>
      <c r="G591">
        <v>13.259865343570709</v>
      </c>
      <c r="H591" t="s">
        <v>400</v>
      </c>
      <c r="I591" t="s">
        <v>35</v>
      </c>
      <c r="J591">
        <v>0</v>
      </c>
      <c r="K591">
        <v>74</v>
      </c>
      <c r="L591" t="s">
        <v>362</v>
      </c>
      <c r="M591">
        <v>1897</v>
      </c>
      <c r="N591">
        <v>4.9029772616922864</v>
      </c>
      <c r="O591">
        <v>16.290899142622951</v>
      </c>
      <c r="P591">
        <v>4.7993392683565617</v>
      </c>
      <c r="Q591">
        <v>19.32251729816198</v>
      </c>
      <c r="R591">
        <v>4</v>
      </c>
      <c r="S591" t="s">
        <v>322</v>
      </c>
      <c r="T591">
        <v>2022</v>
      </c>
      <c r="U591" s="1">
        <v>45901.600802198707</v>
      </c>
      <c r="V591" t="s">
        <v>32</v>
      </c>
      <c r="W591" t="s">
        <v>152</v>
      </c>
      <c r="X591">
        <v>0.98214345690337934</v>
      </c>
      <c r="Y591">
        <v>0.98040211292969803</v>
      </c>
      <c r="Z591">
        <v>-0.29089914262294769</v>
      </c>
      <c r="AA591">
        <v>3.5108065366367951</v>
      </c>
      <c r="AB591">
        <v>0.77289452969745143</v>
      </c>
    </row>
    <row r="592" spans="1:28" x14ac:dyDescent="0.25">
      <c r="A592">
        <v>5</v>
      </c>
      <c r="B592">
        <v>28</v>
      </c>
      <c r="C592">
        <v>16</v>
      </c>
      <c r="D592">
        <v>6098</v>
      </c>
      <c r="E592">
        <v>33</v>
      </c>
      <c r="F592">
        <v>11</v>
      </c>
      <c r="G592">
        <v>9.6412735767662525</v>
      </c>
      <c r="H592" t="s">
        <v>373</v>
      </c>
      <c r="I592" t="s">
        <v>32</v>
      </c>
      <c r="J592">
        <v>0</v>
      </c>
      <c r="K592">
        <v>80</v>
      </c>
      <c r="L592" t="s">
        <v>329</v>
      </c>
      <c r="M592">
        <v>2482</v>
      </c>
      <c r="N592">
        <v>3.7504996675997968</v>
      </c>
      <c r="O592">
        <v>13.4301566593349</v>
      </c>
      <c r="P592">
        <v>4.494084726087749</v>
      </c>
      <c r="Q592">
        <v>15.17912463191897</v>
      </c>
      <c r="R592">
        <v>4</v>
      </c>
      <c r="S592" t="s">
        <v>322</v>
      </c>
      <c r="T592">
        <v>2022</v>
      </c>
      <c r="U592" s="1">
        <v>45901.600802198707</v>
      </c>
      <c r="V592" t="s">
        <v>32</v>
      </c>
      <c r="W592" t="s">
        <v>152</v>
      </c>
      <c r="X592">
        <v>1.191348724058173</v>
      </c>
      <c r="Y592">
        <v>1.140928105858134</v>
      </c>
      <c r="Z592">
        <v>2.569843340665102</v>
      </c>
      <c r="AA592">
        <v>2.9008863819500399</v>
      </c>
      <c r="AB592">
        <v>0.48699198200650312</v>
      </c>
    </row>
    <row r="593" spans="1:28" x14ac:dyDescent="0.25">
      <c r="A593">
        <v>5</v>
      </c>
      <c r="B593">
        <v>33</v>
      </c>
      <c r="C593">
        <v>15</v>
      </c>
      <c r="D593">
        <v>5266</v>
      </c>
      <c r="E593">
        <v>55</v>
      </c>
      <c r="F593">
        <v>8</v>
      </c>
      <c r="G593">
        <v>5.5563547033816576</v>
      </c>
      <c r="H593" t="s">
        <v>406</v>
      </c>
      <c r="I593" t="s">
        <v>35</v>
      </c>
      <c r="J593">
        <v>0</v>
      </c>
      <c r="K593">
        <v>66</v>
      </c>
      <c r="L593" t="s">
        <v>369</v>
      </c>
      <c r="M593">
        <v>2461</v>
      </c>
      <c r="N593">
        <v>6.4709086371585727</v>
      </c>
      <c r="O593">
        <v>11.618569439277049</v>
      </c>
      <c r="P593">
        <v>6.5984838772565126</v>
      </c>
      <c r="Q593">
        <v>12.240157168358561</v>
      </c>
      <c r="R593">
        <v>2</v>
      </c>
      <c r="S593" t="s">
        <v>322</v>
      </c>
      <c r="T593">
        <v>2022</v>
      </c>
      <c r="U593" s="1">
        <v>45901.600802198707</v>
      </c>
      <c r="V593" t="s">
        <v>32</v>
      </c>
      <c r="W593" t="s">
        <v>152</v>
      </c>
      <c r="X593">
        <v>1.291036738937229</v>
      </c>
      <c r="Y593">
        <v>1.439792890675448</v>
      </c>
      <c r="Z593">
        <v>3.3814305607229471</v>
      </c>
      <c r="AA593">
        <v>2.413652986590817</v>
      </c>
      <c r="AB593">
        <v>0.42489689131854319</v>
      </c>
    </row>
    <row r="594" spans="1:28" x14ac:dyDescent="0.25">
      <c r="A594">
        <v>11</v>
      </c>
      <c r="B594">
        <v>32</v>
      </c>
      <c r="C594">
        <v>15</v>
      </c>
      <c r="D594">
        <v>5743</v>
      </c>
      <c r="E594">
        <v>41</v>
      </c>
      <c r="F594">
        <v>13</v>
      </c>
      <c r="G594">
        <v>13.125744855031369</v>
      </c>
      <c r="H594" t="s">
        <v>407</v>
      </c>
      <c r="I594" t="s">
        <v>35</v>
      </c>
      <c r="J594">
        <v>1</v>
      </c>
      <c r="K594">
        <v>77</v>
      </c>
      <c r="L594" t="s">
        <v>321</v>
      </c>
      <c r="M594">
        <v>2671</v>
      </c>
      <c r="N594">
        <v>7.0741363447159529</v>
      </c>
      <c r="O594">
        <v>14.641133820638061</v>
      </c>
      <c r="P594">
        <v>3.3785228244960308</v>
      </c>
      <c r="Q594">
        <v>21.198371678590771</v>
      </c>
      <c r="R594">
        <v>4</v>
      </c>
      <c r="S594" t="s">
        <v>322</v>
      </c>
      <c r="T594">
        <v>2022</v>
      </c>
      <c r="U594" s="1">
        <v>45901.600802198707</v>
      </c>
      <c r="V594" t="s">
        <v>32</v>
      </c>
      <c r="W594" t="s">
        <v>152</v>
      </c>
      <c r="X594">
        <v>1.024510818885904</v>
      </c>
      <c r="Y594">
        <v>0.99041998329084002</v>
      </c>
      <c r="Z594">
        <v>0.35886617936193937</v>
      </c>
      <c r="AA594">
        <v>2.5945338824410329</v>
      </c>
      <c r="AB594">
        <v>0.49333659448050382</v>
      </c>
    </row>
    <row r="595" spans="1:28" x14ac:dyDescent="0.25">
      <c r="A595">
        <v>5</v>
      </c>
      <c r="B595">
        <v>34</v>
      </c>
      <c r="C595">
        <v>14</v>
      </c>
      <c r="D595">
        <v>993</v>
      </c>
      <c r="E595">
        <v>36</v>
      </c>
      <c r="F595">
        <v>13</v>
      </c>
      <c r="G595">
        <v>10.791569046676161</v>
      </c>
      <c r="H595" t="s">
        <v>370</v>
      </c>
      <c r="I595" t="s">
        <v>35</v>
      </c>
      <c r="J595">
        <v>0</v>
      </c>
      <c r="K595">
        <v>82</v>
      </c>
      <c r="L595" t="s">
        <v>323</v>
      </c>
      <c r="M595">
        <v>1950</v>
      </c>
      <c r="N595">
        <v>5.6488556042313576</v>
      </c>
      <c r="O595">
        <v>11.54934506863356</v>
      </c>
      <c r="P595">
        <v>10.33514731377363</v>
      </c>
      <c r="Q595">
        <v>24.274701070040461</v>
      </c>
      <c r="R595">
        <v>0</v>
      </c>
      <c r="S595" t="s">
        <v>322</v>
      </c>
      <c r="T595">
        <v>2022</v>
      </c>
      <c r="U595" s="1">
        <v>45901.600802198707</v>
      </c>
      <c r="V595" t="s">
        <v>32</v>
      </c>
      <c r="W595" t="s">
        <v>152</v>
      </c>
      <c r="X595">
        <v>1.2121899481575009</v>
      </c>
      <c r="Y595">
        <v>1.2046441016845499</v>
      </c>
      <c r="Z595">
        <v>2.4506549313664441</v>
      </c>
      <c r="AA595">
        <v>3.784615384615384</v>
      </c>
      <c r="AB595">
        <v>0.53304669547539496</v>
      </c>
    </row>
    <row r="596" spans="1:28" x14ac:dyDescent="0.25">
      <c r="A596">
        <v>6</v>
      </c>
      <c r="B596">
        <v>30</v>
      </c>
      <c r="C596">
        <v>13</v>
      </c>
      <c r="D596">
        <v>5992</v>
      </c>
      <c r="E596">
        <v>29</v>
      </c>
      <c r="F596">
        <v>13</v>
      </c>
      <c r="G596">
        <v>16.923396602272991</v>
      </c>
      <c r="H596" t="s">
        <v>397</v>
      </c>
      <c r="I596" t="s">
        <v>29</v>
      </c>
      <c r="J596">
        <v>0</v>
      </c>
      <c r="K596">
        <v>91</v>
      </c>
      <c r="L596" t="s">
        <v>333</v>
      </c>
      <c r="M596">
        <v>2524</v>
      </c>
      <c r="N596">
        <v>3.9833398824557662</v>
      </c>
      <c r="O596">
        <v>16.923396602272991</v>
      </c>
      <c r="P596">
        <v>4.194450257346034</v>
      </c>
      <c r="Q596">
        <v>22.03937479108572</v>
      </c>
      <c r="R596">
        <v>3</v>
      </c>
      <c r="S596" t="s">
        <v>322</v>
      </c>
      <c r="T596">
        <v>2022</v>
      </c>
      <c r="U596" s="1">
        <v>45901.600802198707</v>
      </c>
      <c r="V596" t="s">
        <v>32</v>
      </c>
      <c r="W596" t="s">
        <v>152</v>
      </c>
      <c r="X596">
        <v>0.76816730739820671</v>
      </c>
      <c r="Y596">
        <v>0.76816730739820671</v>
      </c>
      <c r="Z596">
        <v>-3.9233966022729869</v>
      </c>
      <c r="AA596">
        <v>3.2448494453248808</v>
      </c>
      <c r="AB596">
        <v>0.60344916569119211</v>
      </c>
    </row>
    <row r="597" spans="1:28" x14ac:dyDescent="0.25">
      <c r="A597">
        <v>3</v>
      </c>
      <c r="B597">
        <v>32</v>
      </c>
      <c r="C597">
        <v>12</v>
      </c>
      <c r="D597">
        <v>956</v>
      </c>
      <c r="E597">
        <v>31</v>
      </c>
      <c r="F597">
        <v>8</v>
      </c>
      <c r="G597">
        <v>8.1084786206483841</v>
      </c>
      <c r="H597" t="s">
        <v>364</v>
      </c>
      <c r="I597" t="s">
        <v>35</v>
      </c>
      <c r="J597">
        <v>0</v>
      </c>
      <c r="K597">
        <v>63</v>
      </c>
      <c r="L597" t="s">
        <v>365</v>
      </c>
      <c r="M597">
        <v>2413</v>
      </c>
      <c r="N597">
        <v>1.6903651049360631</v>
      </c>
      <c r="O597">
        <v>12.655137896537781</v>
      </c>
      <c r="P597">
        <v>8.0006606038659811</v>
      </c>
      <c r="Q597">
        <v>16.094462648034099</v>
      </c>
      <c r="R597">
        <v>3</v>
      </c>
      <c r="S597" t="s">
        <v>322</v>
      </c>
      <c r="T597">
        <v>2022</v>
      </c>
      <c r="U597" s="1">
        <v>45901.600802198707</v>
      </c>
      <c r="V597" t="s">
        <v>32</v>
      </c>
      <c r="W597" t="s">
        <v>152</v>
      </c>
      <c r="X597">
        <v>0.94823146915554235</v>
      </c>
      <c r="Y597">
        <v>0.98662158146755896</v>
      </c>
      <c r="Z597">
        <v>-0.65513789653778076</v>
      </c>
      <c r="AA597">
        <v>2.3497720679651879</v>
      </c>
      <c r="AB597">
        <v>0.47201094516717801</v>
      </c>
    </row>
    <row r="598" spans="1:28" x14ac:dyDescent="0.25">
      <c r="A598">
        <v>6</v>
      </c>
      <c r="B598">
        <v>34</v>
      </c>
      <c r="C598">
        <v>12</v>
      </c>
      <c r="D598">
        <v>4329</v>
      </c>
      <c r="E598">
        <v>51</v>
      </c>
      <c r="F598">
        <v>12</v>
      </c>
      <c r="G598">
        <v>10.13289405032992</v>
      </c>
      <c r="H598" t="s">
        <v>408</v>
      </c>
      <c r="I598" t="s">
        <v>49</v>
      </c>
      <c r="J598">
        <v>0</v>
      </c>
      <c r="K598">
        <v>94</v>
      </c>
      <c r="L598" t="s">
        <v>329</v>
      </c>
      <c r="M598">
        <v>2888</v>
      </c>
      <c r="N598">
        <v>5.1176732471212736</v>
      </c>
      <c r="O598">
        <v>10.8906710408628</v>
      </c>
      <c r="P598">
        <v>3.878561289049685</v>
      </c>
      <c r="Q598">
        <v>16.192486543208361</v>
      </c>
      <c r="R598">
        <v>3</v>
      </c>
      <c r="S598" t="s">
        <v>322</v>
      </c>
      <c r="T598">
        <v>2022</v>
      </c>
      <c r="U598" s="1">
        <v>45901.600802198707</v>
      </c>
      <c r="V598" t="s">
        <v>32</v>
      </c>
      <c r="W598" t="s">
        <v>152</v>
      </c>
      <c r="X598">
        <v>1.101860478107813</v>
      </c>
      <c r="Y598">
        <v>1.184261864418614</v>
      </c>
      <c r="Z598">
        <v>1.1093289591372</v>
      </c>
      <c r="AA598">
        <v>2.9293628808864272</v>
      </c>
      <c r="AB598">
        <v>0.33939071803242798</v>
      </c>
    </row>
    <row r="599" spans="1:28" x14ac:dyDescent="0.25">
      <c r="A599">
        <v>0</v>
      </c>
      <c r="B599">
        <v>22</v>
      </c>
      <c r="C599">
        <v>11</v>
      </c>
      <c r="D599">
        <v>3738</v>
      </c>
      <c r="E599">
        <v>18</v>
      </c>
      <c r="F599">
        <v>9</v>
      </c>
      <c r="G599">
        <v>10.441392052918671</v>
      </c>
      <c r="H599" t="s">
        <v>409</v>
      </c>
      <c r="I599" t="s">
        <v>29</v>
      </c>
      <c r="J599">
        <v>1</v>
      </c>
      <c r="K599">
        <v>49</v>
      </c>
      <c r="L599" t="s">
        <v>352</v>
      </c>
      <c r="M599">
        <v>1665</v>
      </c>
      <c r="N599">
        <v>1.357606735080481</v>
      </c>
      <c r="O599">
        <v>11.95694568380714</v>
      </c>
      <c r="P599">
        <v>2.3166788220405579</v>
      </c>
      <c r="Q599">
        <v>12.250795565545561</v>
      </c>
      <c r="R599">
        <v>2</v>
      </c>
      <c r="S599" t="s">
        <v>322</v>
      </c>
      <c r="T599">
        <v>2022</v>
      </c>
      <c r="U599" s="1">
        <v>45901.600802198707</v>
      </c>
      <c r="V599" t="s">
        <v>32</v>
      </c>
      <c r="W599" t="s">
        <v>152</v>
      </c>
      <c r="X599">
        <v>0.91996738054074345</v>
      </c>
      <c r="Y599">
        <v>0.86195403394360992</v>
      </c>
      <c r="Z599">
        <v>-0.9569456838071364</v>
      </c>
      <c r="AA599">
        <v>2.6486486486486491</v>
      </c>
      <c r="AB599">
        <v>0.64632138831389929</v>
      </c>
    </row>
    <row r="600" spans="1:28" x14ac:dyDescent="0.25">
      <c r="A600">
        <v>3</v>
      </c>
      <c r="B600">
        <v>32</v>
      </c>
      <c r="C600">
        <v>11</v>
      </c>
      <c r="D600">
        <v>5706</v>
      </c>
      <c r="E600">
        <v>28</v>
      </c>
      <c r="F600">
        <v>6</v>
      </c>
      <c r="G600">
        <v>5.1724519748240709</v>
      </c>
      <c r="H600" t="s">
        <v>315</v>
      </c>
      <c r="I600" t="s">
        <v>35</v>
      </c>
      <c r="J600">
        <v>0</v>
      </c>
      <c r="K600">
        <v>64</v>
      </c>
      <c r="L600" t="s">
        <v>349</v>
      </c>
      <c r="M600">
        <v>2417</v>
      </c>
      <c r="N600">
        <v>4.2955841347575188</v>
      </c>
      <c r="O600">
        <v>8.9613353116437793</v>
      </c>
      <c r="P600">
        <v>2.6042105183005329</v>
      </c>
      <c r="Q600">
        <v>9.8134502964094281</v>
      </c>
      <c r="R600">
        <v>8</v>
      </c>
      <c r="S600" t="s">
        <v>322</v>
      </c>
      <c r="T600">
        <v>2022</v>
      </c>
      <c r="U600" s="1">
        <v>45901.600802198707</v>
      </c>
      <c r="V600" t="s">
        <v>32</v>
      </c>
      <c r="W600" t="s">
        <v>152</v>
      </c>
      <c r="X600">
        <v>1.227495637364145</v>
      </c>
      <c r="Y600">
        <v>1.159991437175997</v>
      </c>
      <c r="Z600">
        <v>2.0386646883562212</v>
      </c>
      <c r="AA600">
        <v>2.383119569714522</v>
      </c>
      <c r="AB600">
        <v>0.33368646174925121</v>
      </c>
    </row>
    <row r="601" spans="1:28" x14ac:dyDescent="0.25">
      <c r="A601">
        <v>1</v>
      </c>
      <c r="B601">
        <v>33</v>
      </c>
      <c r="C601">
        <v>11</v>
      </c>
      <c r="D601">
        <v>7879</v>
      </c>
      <c r="E601">
        <v>37</v>
      </c>
      <c r="F601">
        <v>7</v>
      </c>
      <c r="G601">
        <v>5.9676830526441336</v>
      </c>
      <c r="H601" t="s">
        <v>410</v>
      </c>
      <c r="I601" t="s">
        <v>35</v>
      </c>
      <c r="J601">
        <v>0</v>
      </c>
      <c r="K601">
        <v>68</v>
      </c>
      <c r="L601" t="s">
        <v>355</v>
      </c>
      <c r="M601">
        <v>2619</v>
      </c>
      <c r="N601">
        <v>4.248066739179194</v>
      </c>
      <c r="O601">
        <v>8.9987904112786055</v>
      </c>
      <c r="P601">
        <v>2.731130957603455</v>
      </c>
      <c r="Q601">
        <v>12.15662797447294</v>
      </c>
      <c r="R601">
        <v>5</v>
      </c>
      <c r="S601" t="s">
        <v>322</v>
      </c>
      <c r="T601">
        <v>2022</v>
      </c>
      <c r="U601" s="1">
        <v>45901.600802198707</v>
      </c>
      <c r="V601" t="s">
        <v>32</v>
      </c>
      <c r="W601" t="s">
        <v>152</v>
      </c>
      <c r="X601">
        <v>1.2223865094372219</v>
      </c>
      <c r="Y601">
        <v>1.172984546640504</v>
      </c>
      <c r="Z601">
        <v>2.001209588721395</v>
      </c>
      <c r="AA601">
        <v>2.336769759450172</v>
      </c>
      <c r="AB601">
        <v>0.30923678389273562</v>
      </c>
    </row>
    <row r="602" spans="1:28" x14ac:dyDescent="0.25">
      <c r="A602">
        <v>7</v>
      </c>
      <c r="B602">
        <v>34</v>
      </c>
      <c r="C602">
        <v>11</v>
      </c>
      <c r="D602">
        <v>7882</v>
      </c>
      <c r="E602">
        <v>43</v>
      </c>
      <c r="F602">
        <v>11</v>
      </c>
      <c r="G602">
        <v>5.7069787550717592</v>
      </c>
      <c r="H602" t="s">
        <v>411</v>
      </c>
      <c r="I602" t="s">
        <v>35</v>
      </c>
      <c r="J602">
        <v>0</v>
      </c>
      <c r="K602">
        <v>67</v>
      </c>
      <c r="L602" t="s">
        <v>395</v>
      </c>
      <c r="M602">
        <v>2638</v>
      </c>
      <c r="N602">
        <v>5.149274218827486</v>
      </c>
      <c r="O602">
        <v>5.7069787550717592</v>
      </c>
      <c r="P602">
        <v>2.6656901137903328</v>
      </c>
      <c r="Q602">
        <v>12.626208378002049</v>
      </c>
      <c r="R602">
        <v>4</v>
      </c>
      <c r="S602" t="s">
        <v>322</v>
      </c>
      <c r="T602">
        <v>2022</v>
      </c>
      <c r="U602" s="1">
        <v>45901.600802198707</v>
      </c>
      <c r="V602" t="s">
        <v>32</v>
      </c>
      <c r="W602" t="s">
        <v>152</v>
      </c>
      <c r="X602">
        <v>1.927464683520044</v>
      </c>
      <c r="Y602">
        <v>1.927464683520044</v>
      </c>
      <c r="Z602">
        <v>5.2930212449282408</v>
      </c>
      <c r="AA602">
        <v>2.2858225928733891</v>
      </c>
      <c r="AB602">
        <v>0.19470359664763401</v>
      </c>
    </row>
    <row r="603" spans="1:28" x14ac:dyDescent="0.25">
      <c r="A603">
        <v>4</v>
      </c>
      <c r="B603">
        <v>30</v>
      </c>
      <c r="C603">
        <v>10</v>
      </c>
      <c r="D603">
        <v>171</v>
      </c>
      <c r="E603">
        <v>25</v>
      </c>
      <c r="F603">
        <v>10</v>
      </c>
      <c r="G603">
        <v>9.7053820155560953</v>
      </c>
      <c r="H603" t="s">
        <v>375</v>
      </c>
      <c r="I603" t="s">
        <v>29</v>
      </c>
      <c r="J603">
        <v>0</v>
      </c>
      <c r="K603">
        <v>66</v>
      </c>
      <c r="L603" t="s">
        <v>369</v>
      </c>
      <c r="M603">
        <v>2200</v>
      </c>
      <c r="N603">
        <v>3.359377039596438</v>
      </c>
      <c r="O603">
        <v>9.7053820155560953</v>
      </c>
      <c r="P603">
        <v>4.9207235164940357</v>
      </c>
      <c r="Q603">
        <v>16.562423076480631</v>
      </c>
      <c r="R603">
        <v>6</v>
      </c>
      <c r="S603" t="s">
        <v>322</v>
      </c>
      <c r="T603">
        <v>2022</v>
      </c>
      <c r="U603" s="1">
        <v>45901.600802198707</v>
      </c>
      <c r="V603" t="s">
        <v>32</v>
      </c>
      <c r="W603" t="s">
        <v>152</v>
      </c>
      <c r="X603">
        <v>1.030356145072052</v>
      </c>
      <c r="Y603">
        <v>1.030356145072052</v>
      </c>
      <c r="Z603">
        <v>0.29461798444390469</v>
      </c>
      <c r="AA603">
        <v>2.7</v>
      </c>
      <c r="AB603">
        <v>0.39703835518184027</v>
      </c>
    </row>
    <row r="604" spans="1:28" x14ac:dyDescent="0.25">
      <c r="A604">
        <v>2</v>
      </c>
      <c r="B604">
        <v>19</v>
      </c>
      <c r="C604">
        <v>10</v>
      </c>
      <c r="D604">
        <v>339</v>
      </c>
      <c r="E604">
        <v>16</v>
      </c>
      <c r="F604">
        <v>10</v>
      </c>
      <c r="G604">
        <v>7.5870200917124748</v>
      </c>
      <c r="H604" t="s">
        <v>412</v>
      </c>
      <c r="I604" t="s">
        <v>29</v>
      </c>
      <c r="J604">
        <v>0</v>
      </c>
      <c r="K604">
        <v>31</v>
      </c>
      <c r="L604" t="s">
        <v>323</v>
      </c>
      <c r="M604">
        <v>1127</v>
      </c>
      <c r="N604">
        <v>2.413439923897386</v>
      </c>
      <c r="O604">
        <v>8.3447970747947693</v>
      </c>
      <c r="P604">
        <v>5.7895235978066921</v>
      </c>
      <c r="Q604">
        <v>15.240264654159549</v>
      </c>
      <c r="R604">
        <v>0</v>
      </c>
      <c r="S604" t="s">
        <v>322</v>
      </c>
      <c r="T604">
        <v>2022</v>
      </c>
      <c r="U604" s="1">
        <v>45901.600802198707</v>
      </c>
      <c r="V604" t="s">
        <v>32</v>
      </c>
      <c r="W604" t="s">
        <v>152</v>
      </c>
      <c r="X604">
        <v>1.1983514890020179</v>
      </c>
      <c r="Y604">
        <v>1.3180405322668509</v>
      </c>
      <c r="Z604">
        <v>1.6552029252052309</v>
      </c>
      <c r="AA604">
        <v>2.4755989352262651</v>
      </c>
      <c r="AB604">
        <v>0.66639905654971543</v>
      </c>
    </row>
    <row r="605" spans="1:28" x14ac:dyDescent="0.25">
      <c r="A605">
        <v>2</v>
      </c>
      <c r="B605">
        <v>31</v>
      </c>
      <c r="C605">
        <v>10</v>
      </c>
      <c r="D605">
        <v>2631</v>
      </c>
      <c r="E605">
        <v>33</v>
      </c>
      <c r="F605">
        <v>10</v>
      </c>
      <c r="G605">
        <v>7.9378015007823706</v>
      </c>
      <c r="H605" t="s">
        <v>413</v>
      </c>
      <c r="I605" t="s">
        <v>35</v>
      </c>
      <c r="J605">
        <v>0</v>
      </c>
      <c r="K605">
        <v>67</v>
      </c>
      <c r="L605" t="s">
        <v>335</v>
      </c>
      <c r="M605">
        <v>2559</v>
      </c>
      <c r="N605">
        <v>4.462550288066268</v>
      </c>
      <c r="O605">
        <v>7.9378015007823706</v>
      </c>
      <c r="P605">
        <v>3.004184128716588</v>
      </c>
      <c r="Q605">
        <v>13.13980631157756</v>
      </c>
      <c r="R605">
        <v>4</v>
      </c>
      <c r="S605" t="s">
        <v>322</v>
      </c>
      <c r="T605">
        <v>2022</v>
      </c>
      <c r="U605" s="1">
        <v>45901.600802198707</v>
      </c>
      <c r="V605" t="s">
        <v>32</v>
      </c>
      <c r="W605" t="s">
        <v>152</v>
      </c>
      <c r="X605">
        <v>1.259794667202798</v>
      </c>
      <c r="Y605">
        <v>1.259794667202798</v>
      </c>
      <c r="Z605">
        <v>2.062198499217629</v>
      </c>
      <c r="AA605">
        <v>2.3563892145369292</v>
      </c>
      <c r="AB605">
        <v>0.2791723857250541</v>
      </c>
    </row>
    <row r="606" spans="1:28" x14ac:dyDescent="0.25">
      <c r="A606">
        <v>0</v>
      </c>
      <c r="B606">
        <v>28</v>
      </c>
      <c r="C606">
        <v>10</v>
      </c>
      <c r="D606">
        <v>7883</v>
      </c>
      <c r="E606">
        <v>6</v>
      </c>
      <c r="F606">
        <v>6</v>
      </c>
      <c r="G606">
        <v>6.3504038937389851</v>
      </c>
      <c r="H606" t="s">
        <v>414</v>
      </c>
      <c r="I606" t="s">
        <v>35</v>
      </c>
      <c r="J606">
        <v>0</v>
      </c>
      <c r="K606">
        <v>36</v>
      </c>
      <c r="L606" t="s">
        <v>335</v>
      </c>
      <c r="M606">
        <v>1313</v>
      </c>
      <c r="N606">
        <v>0.7966726366430521</v>
      </c>
      <c r="O606">
        <v>9.38143016025424</v>
      </c>
      <c r="P606">
        <v>2.598035659641027</v>
      </c>
      <c r="Q606">
        <v>7.6785402745008469</v>
      </c>
      <c r="R606">
        <v>2</v>
      </c>
      <c r="S606" t="s">
        <v>322</v>
      </c>
      <c r="T606">
        <v>2022</v>
      </c>
      <c r="U606" s="1">
        <v>45901.600802198707</v>
      </c>
      <c r="V606" t="s">
        <v>32</v>
      </c>
      <c r="W606" t="s">
        <v>152</v>
      </c>
      <c r="X606">
        <v>1.065935558777213</v>
      </c>
      <c r="Y606">
        <v>0.94482179407762445</v>
      </c>
      <c r="Z606">
        <v>0.61856983974575996</v>
      </c>
      <c r="AA606">
        <v>2.4676313785224679</v>
      </c>
      <c r="AB606">
        <v>0.64305309552390066</v>
      </c>
    </row>
    <row r="607" spans="1:28" x14ac:dyDescent="0.25">
      <c r="A607">
        <v>8</v>
      </c>
      <c r="B607">
        <v>32</v>
      </c>
      <c r="C607">
        <v>36</v>
      </c>
      <c r="D607">
        <v>647</v>
      </c>
      <c r="E607">
        <v>31</v>
      </c>
      <c r="F607">
        <v>31</v>
      </c>
      <c r="G607">
        <v>29.327461294829849</v>
      </c>
      <c r="H607" t="s">
        <v>34</v>
      </c>
      <c r="I607" t="s">
        <v>32</v>
      </c>
      <c r="J607">
        <v>0</v>
      </c>
      <c r="K607">
        <v>146</v>
      </c>
      <c r="L607" t="s">
        <v>323</v>
      </c>
      <c r="M607">
        <v>2854</v>
      </c>
      <c r="N607">
        <v>6.7843288145959377</v>
      </c>
      <c r="O607">
        <v>33.116344682872302</v>
      </c>
      <c r="P607">
        <v>8.2948505952954292</v>
      </c>
      <c r="Q607">
        <v>38.139976032078273</v>
      </c>
      <c r="R607">
        <v>2</v>
      </c>
      <c r="S607" t="s">
        <v>322</v>
      </c>
      <c r="T607">
        <v>2023</v>
      </c>
      <c r="U607" s="1">
        <v>45901.600802198707</v>
      </c>
      <c r="V607" t="s">
        <v>32</v>
      </c>
      <c r="W607" t="s">
        <v>162</v>
      </c>
      <c r="X607">
        <v>1.0870764978666001</v>
      </c>
      <c r="Y607">
        <v>1.057029781349162</v>
      </c>
      <c r="Z607">
        <v>2.8836553171277051</v>
      </c>
      <c r="AA607">
        <v>4.6040644709180096</v>
      </c>
      <c r="AB607">
        <v>1.044313602473198</v>
      </c>
    </row>
    <row r="608" spans="1:28" x14ac:dyDescent="0.25">
      <c r="A608">
        <v>3</v>
      </c>
      <c r="B608">
        <v>28</v>
      </c>
      <c r="C608">
        <v>28</v>
      </c>
      <c r="D608">
        <v>3738</v>
      </c>
      <c r="E608">
        <v>53</v>
      </c>
      <c r="F608">
        <v>24</v>
      </c>
      <c r="G608">
        <v>20.480992905795571</v>
      </c>
      <c r="H608" t="s">
        <v>409</v>
      </c>
      <c r="I608" t="s">
        <v>29</v>
      </c>
      <c r="J608">
        <v>0</v>
      </c>
      <c r="K608">
        <v>91</v>
      </c>
      <c r="L608" t="s">
        <v>352</v>
      </c>
      <c r="M608">
        <v>2228</v>
      </c>
      <c r="N608">
        <v>7.6686890907585621</v>
      </c>
      <c r="O608">
        <v>23.512099631130688</v>
      </c>
      <c r="P608">
        <v>7.6645224206149578</v>
      </c>
      <c r="Q608">
        <v>32.288787648081779</v>
      </c>
      <c r="R608">
        <v>0</v>
      </c>
      <c r="S608" t="s">
        <v>322</v>
      </c>
      <c r="T608">
        <v>2023</v>
      </c>
      <c r="U608" s="1">
        <v>45901.600802198707</v>
      </c>
      <c r="V608" t="s">
        <v>32</v>
      </c>
      <c r="W608" t="s">
        <v>162</v>
      </c>
      <c r="X608">
        <v>1.1908762058377469</v>
      </c>
      <c r="Y608">
        <v>1.171818188228982</v>
      </c>
      <c r="Z608">
        <v>4.4879003688693118</v>
      </c>
      <c r="AA608">
        <v>3.675942549371634</v>
      </c>
      <c r="AB608">
        <v>0.94977063141910323</v>
      </c>
    </row>
    <row r="609" spans="1:28" x14ac:dyDescent="0.25">
      <c r="A609">
        <v>7</v>
      </c>
      <c r="B609">
        <v>34</v>
      </c>
      <c r="C609">
        <v>24</v>
      </c>
      <c r="D609">
        <v>10832</v>
      </c>
      <c r="E609">
        <v>36</v>
      </c>
      <c r="F609">
        <v>22</v>
      </c>
      <c r="G609">
        <v>22.46996469981968</v>
      </c>
      <c r="H609" t="s">
        <v>415</v>
      </c>
      <c r="I609" t="s">
        <v>29</v>
      </c>
      <c r="J609">
        <v>0</v>
      </c>
      <c r="K609">
        <v>120</v>
      </c>
      <c r="L609" t="s">
        <v>362</v>
      </c>
      <c r="M609">
        <v>2772</v>
      </c>
      <c r="N609">
        <v>6.5242218803614378</v>
      </c>
      <c r="O609">
        <v>24.743294673040509</v>
      </c>
      <c r="P609">
        <v>4.370127652771771</v>
      </c>
      <c r="Q609">
        <v>29.702668225392699</v>
      </c>
      <c r="R609">
        <v>4</v>
      </c>
      <c r="S609" t="s">
        <v>322</v>
      </c>
      <c r="T609">
        <v>2023</v>
      </c>
      <c r="U609" s="1">
        <v>45901.600802198707</v>
      </c>
      <c r="V609" t="s">
        <v>32</v>
      </c>
      <c r="W609" t="s">
        <v>162</v>
      </c>
      <c r="X609">
        <v>0.9699597534256269</v>
      </c>
      <c r="Y609">
        <v>0.97908476020776947</v>
      </c>
      <c r="Z609">
        <v>-0.74329467304050922</v>
      </c>
      <c r="AA609">
        <v>3.8961038961038961</v>
      </c>
      <c r="AB609">
        <v>0.80335372315066578</v>
      </c>
    </row>
    <row r="610" spans="1:28" x14ac:dyDescent="0.25">
      <c r="A610">
        <v>10</v>
      </c>
      <c r="B610">
        <v>30</v>
      </c>
      <c r="C610">
        <v>18</v>
      </c>
      <c r="D610">
        <v>10804</v>
      </c>
      <c r="E610">
        <v>39</v>
      </c>
      <c r="F610">
        <v>18</v>
      </c>
      <c r="G610">
        <v>16.335513127967719</v>
      </c>
      <c r="H610" t="s">
        <v>416</v>
      </c>
      <c r="I610" t="s">
        <v>35</v>
      </c>
      <c r="J610">
        <v>0</v>
      </c>
      <c r="K610">
        <v>107</v>
      </c>
      <c r="L610" t="s">
        <v>352</v>
      </c>
      <c r="M610">
        <v>2135</v>
      </c>
      <c r="N610">
        <v>7.1716385968029499</v>
      </c>
      <c r="O610">
        <v>17.09328974597156</v>
      </c>
      <c r="P610">
        <v>6.9859972056001434</v>
      </c>
      <c r="Q610">
        <v>26.269780419766899</v>
      </c>
      <c r="R610">
        <v>5</v>
      </c>
      <c r="S610" t="s">
        <v>322</v>
      </c>
      <c r="T610">
        <v>2023</v>
      </c>
      <c r="U610" s="1">
        <v>45901.600802198707</v>
      </c>
      <c r="V610" t="s">
        <v>32</v>
      </c>
      <c r="W610" t="s">
        <v>162</v>
      </c>
      <c r="X610">
        <v>1.0530448069098071</v>
      </c>
      <c r="Y610">
        <v>1.1018937610954229</v>
      </c>
      <c r="Z610">
        <v>0.90671025402843952</v>
      </c>
      <c r="AA610">
        <v>4.5105386416861828</v>
      </c>
      <c r="AB610">
        <v>0.72056022348357862</v>
      </c>
    </row>
    <row r="611" spans="1:28" x14ac:dyDescent="0.25">
      <c r="A611">
        <v>1</v>
      </c>
      <c r="B611">
        <v>33</v>
      </c>
      <c r="C611">
        <v>16</v>
      </c>
      <c r="D611">
        <v>8137</v>
      </c>
      <c r="E611">
        <v>24</v>
      </c>
      <c r="F611">
        <v>16</v>
      </c>
      <c r="G611">
        <v>12.457650601863859</v>
      </c>
      <c r="H611" t="s">
        <v>417</v>
      </c>
      <c r="I611" t="s">
        <v>35</v>
      </c>
      <c r="J611">
        <v>0</v>
      </c>
      <c r="K611">
        <v>82</v>
      </c>
      <c r="L611" t="s">
        <v>365</v>
      </c>
      <c r="M611">
        <v>2477</v>
      </c>
      <c r="N611">
        <v>2.661381559446454</v>
      </c>
      <c r="O611">
        <v>12.457650601863859</v>
      </c>
      <c r="P611">
        <v>2.5732957124710079</v>
      </c>
      <c r="Q611">
        <v>15.762844976037741</v>
      </c>
      <c r="R611">
        <v>1</v>
      </c>
      <c r="S611" t="s">
        <v>322</v>
      </c>
      <c r="T611">
        <v>2023</v>
      </c>
      <c r="U611" s="1">
        <v>45901.600802198707</v>
      </c>
      <c r="V611" t="s">
        <v>32</v>
      </c>
      <c r="W611" t="s">
        <v>162</v>
      </c>
      <c r="X611">
        <v>1.2843513204332559</v>
      </c>
      <c r="Y611">
        <v>1.2843513204332559</v>
      </c>
      <c r="Z611">
        <v>3.5423493981361411</v>
      </c>
      <c r="AA611">
        <v>2.9794105773112638</v>
      </c>
      <c r="AB611">
        <v>0.45263970697123429</v>
      </c>
    </row>
    <row r="612" spans="1:28" x14ac:dyDescent="0.25">
      <c r="A612">
        <v>6</v>
      </c>
      <c r="B612">
        <v>30</v>
      </c>
      <c r="C612">
        <v>15</v>
      </c>
      <c r="D612">
        <v>956</v>
      </c>
      <c r="E612">
        <v>77</v>
      </c>
      <c r="F612">
        <v>10</v>
      </c>
      <c r="G612">
        <v>8.2879974693059921</v>
      </c>
      <c r="H612" t="s">
        <v>364</v>
      </c>
      <c r="I612" t="s">
        <v>35</v>
      </c>
      <c r="J612">
        <v>0</v>
      </c>
      <c r="K612">
        <v>69</v>
      </c>
      <c r="L612" t="s">
        <v>365</v>
      </c>
      <c r="M612">
        <v>2231</v>
      </c>
      <c r="N612">
        <v>9.0235942471772432</v>
      </c>
      <c r="O612">
        <v>12.07688091695309</v>
      </c>
      <c r="P612">
        <v>8.4801530633121729</v>
      </c>
      <c r="Q612">
        <v>18.804145156405859</v>
      </c>
      <c r="R612">
        <v>4</v>
      </c>
      <c r="S612" t="s">
        <v>322</v>
      </c>
      <c r="T612">
        <v>2023</v>
      </c>
      <c r="U612" s="1">
        <v>45901.600802198707</v>
      </c>
      <c r="V612" t="s">
        <v>32</v>
      </c>
      <c r="W612" t="s">
        <v>162</v>
      </c>
      <c r="X612">
        <v>1.242042552472596</v>
      </c>
      <c r="Y612">
        <v>1.206564074981235</v>
      </c>
      <c r="Z612">
        <v>2.9231190830469109</v>
      </c>
      <c r="AA612">
        <v>2.7835051546391751</v>
      </c>
      <c r="AB612">
        <v>0.48718927948264368</v>
      </c>
    </row>
    <row r="613" spans="1:28" x14ac:dyDescent="0.25">
      <c r="A613">
        <v>9</v>
      </c>
      <c r="B613">
        <v>33</v>
      </c>
      <c r="C613">
        <v>15</v>
      </c>
      <c r="D613">
        <v>6496</v>
      </c>
      <c r="E613">
        <v>33</v>
      </c>
      <c r="F613">
        <v>12</v>
      </c>
      <c r="G613">
        <v>11.37531662452966</v>
      </c>
      <c r="H613" t="s">
        <v>418</v>
      </c>
      <c r="I613" t="s">
        <v>49</v>
      </c>
      <c r="J613">
        <v>0</v>
      </c>
      <c r="K613">
        <v>83</v>
      </c>
      <c r="L613" t="s">
        <v>341</v>
      </c>
      <c r="M613">
        <v>2911</v>
      </c>
      <c r="N613">
        <v>4.6841113548725843</v>
      </c>
      <c r="O613">
        <v>14.40642331819981</v>
      </c>
      <c r="P613">
        <v>4.0875102048739791</v>
      </c>
      <c r="Q613">
        <v>17.193720384500921</v>
      </c>
      <c r="R613">
        <v>7</v>
      </c>
      <c r="S613" t="s">
        <v>322</v>
      </c>
      <c r="T613">
        <v>2023</v>
      </c>
      <c r="U613" s="1">
        <v>45901.600802198707</v>
      </c>
      <c r="V613" t="s">
        <v>32</v>
      </c>
      <c r="W613" t="s">
        <v>162</v>
      </c>
      <c r="X613">
        <v>1.0412022240836361</v>
      </c>
      <c r="Y613">
        <v>1.054915691236521</v>
      </c>
      <c r="Z613">
        <v>0.59357668180018841</v>
      </c>
      <c r="AA613">
        <v>2.5661284781861902</v>
      </c>
      <c r="AB613">
        <v>0.44540642344142323</v>
      </c>
    </row>
    <row r="614" spans="1:28" x14ac:dyDescent="0.25">
      <c r="A614">
        <v>8</v>
      </c>
      <c r="B614">
        <v>23</v>
      </c>
      <c r="C614">
        <v>14</v>
      </c>
      <c r="D614">
        <v>11867</v>
      </c>
      <c r="E614">
        <v>22</v>
      </c>
      <c r="F614">
        <v>10</v>
      </c>
      <c r="G614">
        <v>13.959327064454561</v>
      </c>
      <c r="H614" t="s">
        <v>419</v>
      </c>
      <c r="I614" t="s">
        <v>35</v>
      </c>
      <c r="J614">
        <v>0</v>
      </c>
      <c r="K614">
        <v>80</v>
      </c>
      <c r="L614" t="s">
        <v>331</v>
      </c>
      <c r="M614">
        <v>1565</v>
      </c>
      <c r="N614">
        <v>4.4922163523733616</v>
      </c>
      <c r="O614">
        <v>16.990272425115108</v>
      </c>
      <c r="P614">
        <v>4.1966722346842289</v>
      </c>
      <c r="Q614">
        <v>21.300463762134321</v>
      </c>
      <c r="R614">
        <v>2</v>
      </c>
      <c r="S614" t="s">
        <v>322</v>
      </c>
      <c r="T614">
        <v>2023</v>
      </c>
      <c r="U614" s="1">
        <v>45901.600802198707</v>
      </c>
      <c r="V614" t="s">
        <v>32</v>
      </c>
      <c r="W614" t="s">
        <v>162</v>
      </c>
      <c r="X614">
        <v>0.82400091356423033</v>
      </c>
      <c r="Y614">
        <v>0.71636691036945332</v>
      </c>
      <c r="Z614">
        <v>-2.990272425115108</v>
      </c>
      <c r="AA614">
        <v>4.6006389776357821</v>
      </c>
      <c r="AB614">
        <v>0.97707636949543752</v>
      </c>
    </row>
    <row r="615" spans="1:28" x14ac:dyDescent="0.25">
      <c r="A615">
        <v>2</v>
      </c>
      <c r="B615">
        <v>31</v>
      </c>
      <c r="C615">
        <v>14</v>
      </c>
      <c r="D615">
        <v>11974</v>
      </c>
      <c r="E615">
        <v>12</v>
      </c>
      <c r="F615">
        <v>14</v>
      </c>
      <c r="G615">
        <v>8.5962394531816244</v>
      </c>
      <c r="H615" t="s">
        <v>420</v>
      </c>
      <c r="I615" t="s">
        <v>29</v>
      </c>
      <c r="J615">
        <v>0</v>
      </c>
      <c r="K615">
        <v>47</v>
      </c>
      <c r="L615" t="s">
        <v>362</v>
      </c>
      <c r="M615">
        <v>1523</v>
      </c>
      <c r="N615">
        <v>0.91702009364962578</v>
      </c>
      <c r="O615">
        <v>8.5962394531816244</v>
      </c>
      <c r="P615">
        <v>4.8027324285358191</v>
      </c>
      <c r="Q615">
        <v>11.759752489626409</v>
      </c>
      <c r="R615">
        <v>0</v>
      </c>
      <c r="S615" t="s">
        <v>322</v>
      </c>
      <c r="T615">
        <v>2023</v>
      </c>
      <c r="U615" s="1">
        <v>45901.600802198707</v>
      </c>
      <c r="V615" t="s">
        <v>32</v>
      </c>
      <c r="W615" t="s">
        <v>162</v>
      </c>
      <c r="X615">
        <v>1.6286191277301321</v>
      </c>
      <c r="Y615">
        <v>1.6286191277301321</v>
      </c>
      <c r="Z615">
        <v>5.4037605468183756</v>
      </c>
      <c r="AA615">
        <v>2.7774130006565989</v>
      </c>
      <c r="AB615">
        <v>0.50798525987284715</v>
      </c>
    </row>
    <row r="616" spans="1:28" x14ac:dyDescent="0.25">
      <c r="A616">
        <v>1</v>
      </c>
      <c r="B616">
        <v>27</v>
      </c>
      <c r="C616">
        <v>13</v>
      </c>
      <c r="D616">
        <v>9749</v>
      </c>
      <c r="E616">
        <v>22</v>
      </c>
      <c r="F616">
        <v>13</v>
      </c>
      <c r="G616">
        <v>9.3798747323453444</v>
      </c>
      <c r="H616" t="s">
        <v>421</v>
      </c>
      <c r="I616" t="s">
        <v>35</v>
      </c>
      <c r="J616">
        <v>0</v>
      </c>
      <c r="K616">
        <v>72</v>
      </c>
      <c r="L616" t="s">
        <v>326</v>
      </c>
      <c r="M616">
        <v>1797</v>
      </c>
      <c r="N616">
        <v>3.6280691251158719</v>
      </c>
      <c r="O616">
        <v>9.3798747323453444</v>
      </c>
      <c r="P616">
        <v>6.4378881696611643</v>
      </c>
      <c r="Q616">
        <v>15.993896249681709</v>
      </c>
      <c r="R616">
        <v>5</v>
      </c>
      <c r="S616" t="s">
        <v>322</v>
      </c>
      <c r="T616">
        <v>2023</v>
      </c>
      <c r="U616" s="1">
        <v>45901.600802198707</v>
      </c>
      <c r="V616" t="s">
        <v>32</v>
      </c>
      <c r="W616" t="s">
        <v>162</v>
      </c>
      <c r="X616">
        <v>1.38594601430775</v>
      </c>
      <c r="Y616">
        <v>1.38594601430775</v>
      </c>
      <c r="Z616">
        <v>3.620125267654656</v>
      </c>
      <c r="AA616">
        <v>3.6060100166944911</v>
      </c>
      <c r="AB616">
        <v>0.46977669778023429</v>
      </c>
    </row>
    <row r="617" spans="1:28" x14ac:dyDescent="0.25">
      <c r="A617">
        <v>9</v>
      </c>
      <c r="B617">
        <v>33</v>
      </c>
      <c r="C617">
        <v>12</v>
      </c>
      <c r="D617">
        <v>4329</v>
      </c>
      <c r="E617">
        <v>58</v>
      </c>
      <c r="F617">
        <v>7</v>
      </c>
      <c r="G617">
        <v>7.9902367405593404</v>
      </c>
      <c r="H617" t="s">
        <v>408</v>
      </c>
      <c r="I617" t="s">
        <v>35</v>
      </c>
      <c r="J617">
        <v>0</v>
      </c>
      <c r="K617">
        <v>80</v>
      </c>
      <c r="L617" t="s">
        <v>329</v>
      </c>
      <c r="M617">
        <v>2734</v>
      </c>
      <c r="N617">
        <v>8.1214473452419043</v>
      </c>
      <c r="O617">
        <v>12.53689699992538</v>
      </c>
      <c r="P617">
        <v>7.2848465265706182</v>
      </c>
      <c r="Q617">
        <v>17.13905714079738</v>
      </c>
      <c r="R617">
        <v>8</v>
      </c>
      <c r="S617" t="s">
        <v>322</v>
      </c>
      <c r="T617">
        <v>2023</v>
      </c>
      <c r="U617" s="1">
        <v>45901.600802198707</v>
      </c>
      <c r="V617" t="s">
        <v>32</v>
      </c>
      <c r="W617" t="s">
        <v>162</v>
      </c>
      <c r="X617">
        <v>0.95717465016035685</v>
      </c>
      <c r="Y617">
        <v>0.87606916131373347</v>
      </c>
      <c r="Z617">
        <v>-0.53689699992537676</v>
      </c>
      <c r="AA617">
        <v>2.633504023408924</v>
      </c>
      <c r="AB617">
        <v>0.41269960862958438</v>
      </c>
    </row>
    <row r="618" spans="1:28" x14ac:dyDescent="0.25">
      <c r="A618">
        <v>8</v>
      </c>
      <c r="B618">
        <v>31</v>
      </c>
      <c r="C618">
        <v>12</v>
      </c>
      <c r="D618">
        <v>6098</v>
      </c>
      <c r="E618">
        <v>36</v>
      </c>
      <c r="F618">
        <v>9</v>
      </c>
      <c r="G618">
        <v>12.57413643226028</v>
      </c>
      <c r="H618" t="s">
        <v>373</v>
      </c>
      <c r="I618" t="s">
        <v>29</v>
      </c>
      <c r="J618">
        <v>0</v>
      </c>
      <c r="K618">
        <v>58</v>
      </c>
      <c r="L618" t="s">
        <v>422</v>
      </c>
      <c r="M618">
        <v>2453</v>
      </c>
      <c r="N618">
        <v>4.5084292367100716</v>
      </c>
      <c r="O618">
        <v>14.84730511531234</v>
      </c>
      <c r="P618">
        <v>3.5059205237776041</v>
      </c>
      <c r="Q618">
        <v>15.35699363052845</v>
      </c>
      <c r="R618">
        <v>1</v>
      </c>
      <c r="S618" t="s">
        <v>322</v>
      </c>
      <c r="T618">
        <v>2023</v>
      </c>
      <c r="U618" s="1">
        <v>45901.600802198707</v>
      </c>
      <c r="V618" t="s">
        <v>32</v>
      </c>
      <c r="W618" t="s">
        <v>162</v>
      </c>
      <c r="X618">
        <v>0.80822748012527523</v>
      </c>
      <c r="Y618">
        <v>0.71575491871629038</v>
      </c>
      <c r="Z618">
        <v>-2.8473051153123379</v>
      </c>
      <c r="AA618">
        <v>2.1280065226253568</v>
      </c>
      <c r="AB618">
        <v>0.5447441746343703</v>
      </c>
    </row>
    <row r="619" spans="1:28" x14ac:dyDescent="0.25">
      <c r="A619">
        <v>3</v>
      </c>
      <c r="B619">
        <v>33</v>
      </c>
      <c r="C619">
        <v>12</v>
      </c>
      <c r="D619">
        <v>6142</v>
      </c>
      <c r="E619">
        <v>27</v>
      </c>
      <c r="F619">
        <v>10</v>
      </c>
      <c r="G619">
        <v>15.266362739726899</v>
      </c>
      <c r="H619" t="s">
        <v>423</v>
      </c>
      <c r="I619" t="s">
        <v>49</v>
      </c>
      <c r="J619">
        <v>0</v>
      </c>
      <c r="K619">
        <v>83</v>
      </c>
      <c r="L619" t="s">
        <v>424</v>
      </c>
      <c r="M619">
        <v>2892</v>
      </c>
      <c r="N619">
        <v>2.5056460234336559</v>
      </c>
      <c r="O619">
        <v>16.781916214153171</v>
      </c>
      <c r="P619">
        <v>3.2841085717082019</v>
      </c>
      <c r="Q619">
        <v>15.012215526308861</v>
      </c>
      <c r="R619">
        <v>6</v>
      </c>
      <c r="S619" t="s">
        <v>322</v>
      </c>
      <c r="T619">
        <v>2023</v>
      </c>
      <c r="U619" s="1">
        <v>45901.600802198707</v>
      </c>
      <c r="V619" t="s">
        <v>32</v>
      </c>
      <c r="W619" t="s">
        <v>162</v>
      </c>
      <c r="X619">
        <v>0.71505541124557037</v>
      </c>
      <c r="Y619">
        <v>0.65503487441559971</v>
      </c>
      <c r="Z619">
        <v>-4.7819162141531706</v>
      </c>
      <c r="AA619">
        <v>2.5829875518672201</v>
      </c>
      <c r="AB619">
        <v>0.52225880334501562</v>
      </c>
    </row>
    <row r="620" spans="1:28" x14ac:dyDescent="0.25">
      <c r="A620">
        <v>6</v>
      </c>
      <c r="B620">
        <v>29</v>
      </c>
      <c r="C620">
        <v>12</v>
      </c>
      <c r="D620">
        <v>8393</v>
      </c>
      <c r="E620">
        <v>41</v>
      </c>
      <c r="F620">
        <v>10</v>
      </c>
      <c r="G620">
        <v>9.8908891975879687</v>
      </c>
      <c r="H620" t="s">
        <v>425</v>
      </c>
      <c r="I620" t="s">
        <v>35</v>
      </c>
      <c r="J620">
        <v>0</v>
      </c>
      <c r="K620">
        <v>78</v>
      </c>
      <c r="L620" t="s">
        <v>321</v>
      </c>
      <c r="M620">
        <v>2343</v>
      </c>
      <c r="N620">
        <v>4.6914475839585066</v>
      </c>
      <c r="O620">
        <v>11.4064424932003</v>
      </c>
      <c r="P620">
        <v>2.89453346002847</v>
      </c>
      <c r="Q620">
        <v>15.562659397721291</v>
      </c>
      <c r="R620">
        <v>7</v>
      </c>
      <c r="S620" t="s">
        <v>322</v>
      </c>
      <c r="T620">
        <v>2023</v>
      </c>
      <c r="U620" s="1">
        <v>45901.600802198707</v>
      </c>
      <c r="V620" t="s">
        <v>32</v>
      </c>
      <c r="W620" t="s">
        <v>162</v>
      </c>
      <c r="X620">
        <v>1.05203704022122</v>
      </c>
      <c r="Y620">
        <v>1.011031445225232</v>
      </c>
      <c r="Z620">
        <v>0.59355750679969788</v>
      </c>
      <c r="AA620">
        <v>2.9961587708066579</v>
      </c>
      <c r="AB620">
        <v>0.43814759897056221</v>
      </c>
    </row>
    <row r="621" spans="1:28" x14ac:dyDescent="0.25">
      <c r="A621">
        <v>7</v>
      </c>
      <c r="B621">
        <v>34</v>
      </c>
      <c r="C621">
        <v>11</v>
      </c>
      <c r="D621">
        <v>10394</v>
      </c>
      <c r="E621">
        <v>37</v>
      </c>
      <c r="F621">
        <v>11</v>
      </c>
      <c r="G621">
        <v>10.484601590316741</v>
      </c>
      <c r="H621" t="s">
        <v>426</v>
      </c>
      <c r="I621" t="s">
        <v>35</v>
      </c>
      <c r="J621">
        <v>0</v>
      </c>
      <c r="K621">
        <v>73</v>
      </c>
      <c r="L621" t="s">
        <v>325</v>
      </c>
      <c r="M621">
        <v>2689</v>
      </c>
      <c r="N621">
        <v>4.6374669708311558</v>
      </c>
      <c r="O621">
        <v>11.24237820832059</v>
      </c>
      <c r="P621">
        <v>5.6746509000658989</v>
      </c>
      <c r="Q621">
        <v>17.152671616524461</v>
      </c>
      <c r="R621">
        <v>3</v>
      </c>
      <c r="S621" t="s">
        <v>322</v>
      </c>
      <c r="T621">
        <v>2023</v>
      </c>
      <c r="U621" s="1">
        <v>45901.600802198707</v>
      </c>
      <c r="V621" t="s">
        <v>32</v>
      </c>
      <c r="W621" t="s">
        <v>162</v>
      </c>
      <c r="X621">
        <v>0.97844066408109265</v>
      </c>
      <c r="Y621">
        <v>1.049157653273088</v>
      </c>
      <c r="Z621">
        <v>-0.2423782083205879</v>
      </c>
      <c r="AA621">
        <v>2.443287467460022</v>
      </c>
      <c r="AB621">
        <v>0.37627892850459388</v>
      </c>
    </row>
    <row r="622" spans="1:28" x14ac:dyDescent="0.25">
      <c r="A622">
        <v>2</v>
      </c>
      <c r="B622">
        <v>29</v>
      </c>
      <c r="C622">
        <v>10</v>
      </c>
      <c r="D622">
        <v>6351</v>
      </c>
      <c r="E622">
        <v>23</v>
      </c>
      <c r="F622">
        <v>10</v>
      </c>
      <c r="G622">
        <v>4.5678305900655687</v>
      </c>
      <c r="H622" t="s">
        <v>427</v>
      </c>
      <c r="I622" t="s">
        <v>35</v>
      </c>
      <c r="J622">
        <v>0</v>
      </c>
      <c r="K622">
        <v>43</v>
      </c>
      <c r="L622" t="s">
        <v>333</v>
      </c>
      <c r="M622">
        <v>1357</v>
      </c>
      <c r="N622">
        <v>2.0171336773782969</v>
      </c>
      <c r="O622">
        <v>4.5678305900655687</v>
      </c>
      <c r="P622">
        <v>1.643596535548568</v>
      </c>
      <c r="Q622">
        <v>7.3997058160603046</v>
      </c>
      <c r="R622">
        <v>2</v>
      </c>
      <c r="S622" t="s">
        <v>322</v>
      </c>
      <c r="T622">
        <v>2023</v>
      </c>
      <c r="U622" s="1">
        <v>45901.600802198707</v>
      </c>
      <c r="V622" t="s">
        <v>32</v>
      </c>
      <c r="W622" t="s">
        <v>162</v>
      </c>
      <c r="X622">
        <v>2.1892230464388689</v>
      </c>
      <c r="Y622">
        <v>2.1892230464388689</v>
      </c>
      <c r="Z622">
        <v>5.4321694099344313</v>
      </c>
      <c r="AA622">
        <v>2.851879145173176</v>
      </c>
      <c r="AB622">
        <v>0.30295118136028087</v>
      </c>
    </row>
    <row r="623" spans="1:28" x14ac:dyDescent="0.25">
      <c r="A623">
        <v>9</v>
      </c>
      <c r="B623">
        <v>31</v>
      </c>
      <c r="C623">
        <v>26</v>
      </c>
      <c r="D623">
        <v>647</v>
      </c>
      <c r="E623">
        <v>36</v>
      </c>
      <c r="F623">
        <v>17</v>
      </c>
      <c r="G623">
        <v>18.018512774258848</v>
      </c>
      <c r="H623" t="s">
        <v>34</v>
      </c>
      <c r="I623" t="s">
        <v>29</v>
      </c>
      <c r="J623">
        <v>0</v>
      </c>
      <c r="K623">
        <v>114</v>
      </c>
      <c r="L623" t="s">
        <v>323</v>
      </c>
      <c r="M623">
        <v>2400</v>
      </c>
      <c r="N623">
        <v>5.8897190988063812</v>
      </c>
      <c r="O623">
        <v>24.838502988219261</v>
      </c>
      <c r="P623">
        <v>8.7052992098033428</v>
      </c>
      <c r="Q623">
        <v>30.19251061975956</v>
      </c>
      <c r="R623">
        <v>5</v>
      </c>
      <c r="S623" t="s">
        <v>322</v>
      </c>
      <c r="T623">
        <v>2024</v>
      </c>
      <c r="U623" s="1">
        <v>45901.600802198707</v>
      </c>
      <c r="V623" t="s">
        <v>32</v>
      </c>
      <c r="W623" t="s">
        <v>182</v>
      </c>
      <c r="X623">
        <v>1.046761957124857</v>
      </c>
      <c r="Y623">
        <v>0.9434740931718909</v>
      </c>
      <c r="Z623">
        <v>1.1614970117807391</v>
      </c>
      <c r="AA623">
        <v>4.2750000000000004</v>
      </c>
      <c r="AB623">
        <v>0.93144386205822227</v>
      </c>
    </row>
    <row r="624" spans="1:28" x14ac:dyDescent="0.25">
      <c r="A624">
        <v>0</v>
      </c>
      <c r="B624">
        <v>31</v>
      </c>
      <c r="C624">
        <v>21</v>
      </c>
      <c r="D624">
        <v>1236</v>
      </c>
      <c r="E624">
        <v>11</v>
      </c>
      <c r="F624">
        <v>20</v>
      </c>
      <c r="G624">
        <v>13.05063716880977</v>
      </c>
      <c r="H624" t="s">
        <v>396</v>
      </c>
      <c r="I624" t="s">
        <v>35</v>
      </c>
      <c r="J624">
        <v>0</v>
      </c>
      <c r="K624">
        <v>68</v>
      </c>
      <c r="L624" t="s">
        <v>331</v>
      </c>
      <c r="M624">
        <v>1675</v>
      </c>
      <c r="N624">
        <v>0.89310689084231853</v>
      </c>
      <c r="O624">
        <v>13.80841384641826</v>
      </c>
      <c r="P624">
        <v>2.17465521954</v>
      </c>
      <c r="Q624">
        <v>13.01259589195252</v>
      </c>
      <c r="R624">
        <v>4</v>
      </c>
      <c r="S624" t="s">
        <v>322</v>
      </c>
      <c r="T624">
        <v>2024</v>
      </c>
      <c r="U624" s="1">
        <v>45901.600802198707</v>
      </c>
      <c r="V624" t="s">
        <v>32</v>
      </c>
      <c r="W624" t="s">
        <v>182</v>
      </c>
      <c r="X624">
        <v>1.520811892920428</v>
      </c>
      <c r="Y624">
        <v>1.5324922255749149</v>
      </c>
      <c r="Z624">
        <v>7.1915861535817376</v>
      </c>
      <c r="AA624">
        <v>3.6537313432835821</v>
      </c>
      <c r="AB624">
        <v>0.74194462458366783</v>
      </c>
    </row>
    <row r="625" spans="1:28" x14ac:dyDescent="0.25">
      <c r="A625">
        <v>2</v>
      </c>
      <c r="B625">
        <v>30</v>
      </c>
      <c r="C625">
        <v>21</v>
      </c>
      <c r="D625">
        <v>3738</v>
      </c>
      <c r="E625">
        <v>25</v>
      </c>
      <c r="F625">
        <v>18</v>
      </c>
      <c r="G625">
        <v>21.643920786678791</v>
      </c>
      <c r="H625" t="s">
        <v>409</v>
      </c>
      <c r="I625" t="s">
        <v>29</v>
      </c>
      <c r="J625">
        <v>0</v>
      </c>
      <c r="K625">
        <v>89</v>
      </c>
      <c r="L625" t="s">
        <v>326</v>
      </c>
      <c r="M625">
        <v>2608</v>
      </c>
      <c r="N625">
        <v>3.9271613918244839</v>
      </c>
      <c r="O625">
        <v>24.675027474761009</v>
      </c>
      <c r="P625">
        <v>5.9834260921925306</v>
      </c>
      <c r="Q625">
        <v>28.848951578140259</v>
      </c>
      <c r="R625">
        <v>4</v>
      </c>
      <c r="S625" t="s">
        <v>322</v>
      </c>
      <c r="T625">
        <v>2024</v>
      </c>
      <c r="U625" s="1">
        <v>45901.600802198707</v>
      </c>
      <c r="V625" t="s">
        <v>32</v>
      </c>
      <c r="W625" t="s">
        <v>182</v>
      </c>
      <c r="X625">
        <v>0.85106288215808346</v>
      </c>
      <c r="Y625">
        <v>0.83164229704067671</v>
      </c>
      <c r="Z625">
        <v>-3.6750274747610092</v>
      </c>
      <c r="AA625">
        <v>3.0713190184049082</v>
      </c>
      <c r="AB625">
        <v>0.85151551868423736</v>
      </c>
    </row>
    <row r="626" spans="1:28" x14ac:dyDescent="0.25">
      <c r="A626">
        <v>2</v>
      </c>
      <c r="B626">
        <v>29</v>
      </c>
      <c r="C626">
        <v>18</v>
      </c>
      <c r="D626">
        <v>7108</v>
      </c>
      <c r="E626">
        <v>20</v>
      </c>
      <c r="F626">
        <v>16</v>
      </c>
      <c r="G626">
        <v>14.0156878605485</v>
      </c>
      <c r="H626" t="s">
        <v>403</v>
      </c>
      <c r="I626" t="s">
        <v>29</v>
      </c>
      <c r="J626">
        <v>0</v>
      </c>
      <c r="K626">
        <v>72</v>
      </c>
      <c r="L626" t="s">
        <v>335</v>
      </c>
      <c r="M626">
        <v>2144</v>
      </c>
      <c r="N626">
        <v>3.2260143337771301</v>
      </c>
      <c r="O626">
        <v>15.53124121576548</v>
      </c>
      <c r="P626">
        <v>2.2389991842210288</v>
      </c>
      <c r="Q626">
        <v>17.678049380891029</v>
      </c>
      <c r="R626">
        <v>0</v>
      </c>
      <c r="S626" t="s">
        <v>322</v>
      </c>
      <c r="T626">
        <v>2024</v>
      </c>
      <c r="U626" s="1">
        <v>45901.600802198707</v>
      </c>
      <c r="V626" t="s">
        <v>32</v>
      </c>
      <c r="W626" t="s">
        <v>182</v>
      </c>
      <c r="X626">
        <v>1.1589543778206559</v>
      </c>
      <c r="Y626">
        <v>1.1415779346111841</v>
      </c>
      <c r="Z626">
        <v>2.4687587842345242</v>
      </c>
      <c r="AA626">
        <v>3.022388059701492</v>
      </c>
      <c r="AB626">
        <v>0.65196441670657312</v>
      </c>
    </row>
    <row r="627" spans="1:28" x14ac:dyDescent="0.25">
      <c r="A627">
        <v>7</v>
      </c>
      <c r="B627">
        <v>31</v>
      </c>
      <c r="C627">
        <v>16</v>
      </c>
      <c r="D627">
        <v>6142</v>
      </c>
      <c r="E627">
        <v>28</v>
      </c>
      <c r="F627">
        <v>15</v>
      </c>
      <c r="G627">
        <v>14.12582276761532</v>
      </c>
      <c r="H627" t="s">
        <v>423</v>
      </c>
      <c r="I627" t="s">
        <v>32</v>
      </c>
      <c r="J627">
        <v>1</v>
      </c>
      <c r="K627">
        <v>75</v>
      </c>
      <c r="L627" t="s">
        <v>333</v>
      </c>
      <c r="M627">
        <v>2756</v>
      </c>
      <c r="N627">
        <v>6.1643685325980186</v>
      </c>
      <c r="O627">
        <v>15.6413761228323</v>
      </c>
      <c r="P627">
        <v>5.8982548732310534</v>
      </c>
      <c r="Q627">
        <v>22.164080232381821</v>
      </c>
      <c r="R627">
        <v>3</v>
      </c>
      <c r="S627" t="s">
        <v>322</v>
      </c>
      <c r="T627">
        <v>2024</v>
      </c>
      <c r="U627" s="1">
        <v>45901.600802198707</v>
      </c>
      <c r="V627" t="s">
        <v>32</v>
      </c>
      <c r="W627" t="s">
        <v>182</v>
      </c>
      <c r="X627">
        <v>1.022927898053944</v>
      </c>
      <c r="Y627">
        <v>1.061885048875794</v>
      </c>
      <c r="Z627">
        <v>0.35862387716770172</v>
      </c>
      <c r="AA627">
        <v>2.4492017416545719</v>
      </c>
      <c r="AB627">
        <v>0.51078514189220137</v>
      </c>
    </row>
    <row r="628" spans="1:28" x14ac:dyDescent="0.25">
      <c r="A628">
        <v>1</v>
      </c>
      <c r="B628">
        <v>34</v>
      </c>
      <c r="C628">
        <v>15</v>
      </c>
      <c r="D628">
        <v>6496</v>
      </c>
      <c r="E628">
        <v>18</v>
      </c>
      <c r="F628">
        <v>15</v>
      </c>
      <c r="G628">
        <v>15.674632657319311</v>
      </c>
      <c r="H628" t="s">
        <v>418</v>
      </c>
      <c r="I628" t="s">
        <v>29</v>
      </c>
      <c r="J628">
        <v>0</v>
      </c>
      <c r="K628">
        <v>66</v>
      </c>
      <c r="L628" t="s">
        <v>352</v>
      </c>
      <c r="M628">
        <v>1847</v>
      </c>
      <c r="N628">
        <v>2.3308997359126811</v>
      </c>
      <c r="O628">
        <v>17.190185952931639</v>
      </c>
      <c r="P628">
        <v>3.6710129603743549</v>
      </c>
      <c r="Q628">
        <v>18.02232549898326</v>
      </c>
      <c r="R628">
        <v>2</v>
      </c>
      <c r="S628" t="s">
        <v>322</v>
      </c>
      <c r="T628">
        <v>2024</v>
      </c>
      <c r="U628" s="1">
        <v>45901.600802198707</v>
      </c>
      <c r="V628" t="s">
        <v>32</v>
      </c>
      <c r="W628" t="s">
        <v>182</v>
      </c>
      <c r="X628">
        <v>0.87259090978255971</v>
      </c>
      <c r="Y628">
        <v>0.95696022534829317</v>
      </c>
      <c r="Z628">
        <v>-2.190185952931643</v>
      </c>
      <c r="AA628">
        <v>3.2160259880887931</v>
      </c>
      <c r="AB628">
        <v>0.83763764795010709</v>
      </c>
    </row>
    <row r="629" spans="1:28" x14ac:dyDescent="0.25">
      <c r="A629">
        <v>9</v>
      </c>
      <c r="B629">
        <v>17</v>
      </c>
      <c r="C629">
        <v>15</v>
      </c>
      <c r="D629">
        <v>8393</v>
      </c>
      <c r="E629">
        <v>33</v>
      </c>
      <c r="F629">
        <v>13</v>
      </c>
      <c r="G629">
        <v>8.9384765774011612</v>
      </c>
      <c r="H629" t="s">
        <v>425</v>
      </c>
      <c r="I629" t="s">
        <v>49</v>
      </c>
      <c r="J629">
        <v>0</v>
      </c>
      <c r="K629">
        <v>77</v>
      </c>
      <c r="L629" t="s">
        <v>321</v>
      </c>
      <c r="M629">
        <v>1471</v>
      </c>
      <c r="N629">
        <v>6.4370531141757974</v>
      </c>
      <c r="O629">
        <v>10.454029858112341</v>
      </c>
      <c r="P629">
        <v>4.9235791526734829</v>
      </c>
      <c r="Q629">
        <v>15.567543163895611</v>
      </c>
      <c r="R629">
        <v>2</v>
      </c>
      <c r="S629" t="s">
        <v>322</v>
      </c>
      <c r="T629">
        <v>2024</v>
      </c>
      <c r="U629" s="1">
        <v>45901.600802198707</v>
      </c>
      <c r="V629" t="s">
        <v>32</v>
      </c>
      <c r="W629" t="s">
        <v>182</v>
      </c>
      <c r="X629">
        <v>1.434853372679052</v>
      </c>
      <c r="Y629">
        <v>1.454386537507683</v>
      </c>
      <c r="Z629">
        <v>4.5459701418876648</v>
      </c>
      <c r="AA629">
        <v>4.7110808973487419</v>
      </c>
      <c r="AB629">
        <v>0.63960753720605723</v>
      </c>
    </row>
    <row r="630" spans="1:28" x14ac:dyDescent="0.25">
      <c r="A630">
        <v>8</v>
      </c>
      <c r="B630">
        <v>33</v>
      </c>
      <c r="C630">
        <v>15</v>
      </c>
      <c r="D630">
        <v>8995</v>
      </c>
      <c r="E630">
        <v>43</v>
      </c>
      <c r="F630">
        <v>14</v>
      </c>
      <c r="G630">
        <v>20.817348841577768</v>
      </c>
      <c r="H630" t="s">
        <v>428</v>
      </c>
      <c r="I630" t="s">
        <v>35</v>
      </c>
      <c r="J630">
        <v>0</v>
      </c>
      <c r="K630">
        <v>117</v>
      </c>
      <c r="L630" t="s">
        <v>321</v>
      </c>
      <c r="M630">
        <v>2623</v>
      </c>
      <c r="N630">
        <v>7.4975961372256279</v>
      </c>
      <c r="O630">
        <v>23.09067893400788</v>
      </c>
      <c r="P630">
        <v>6.5742603074759236</v>
      </c>
      <c r="Q630">
        <v>32.081095360219479</v>
      </c>
      <c r="R630">
        <v>1</v>
      </c>
      <c r="S630" t="s">
        <v>322</v>
      </c>
      <c r="T630">
        <v>2024</v>
      </c>
      <c r="U630" s="1">
        <v>45901.600802198707</v>
      </c>
      <c r="V630" t="s">
        <v>32</v>
      </c>
      <c r="W630" t="s">
        <v>182</v>
      </c>
      <c r="X630">
        <v>0.64961277417911023</v>
      </c>
      <c r="Y630">
        <v>0.67251599166356313</v>
      </c>
      <c r="Z630">
        <v>-8.0906789340078831</v>
      </c>
      <c r="AA630">
        <v>4.0144872283644677</v>
      </c>
      <c r="AB630">
        <v>0.79228406559691544</v>
      </c>
    </row>
    <row r="631" spans="1:28" x14ac:dyDescent="0.25">
      <c r="A631">
        <v>5</v>
      </c>
      <c r="B631">
        <v>33</v>
      </c>
      <c r="C631">
        <v>13</v>
      </c>
      <c r="D631">
        <v>11974</v>
      </c>
      <c r="E631">
        <v>19</v>
      </c>
      <c r="F631">
        <v>11</v>
      </c>
      <c r="G631">
        <v>9.3275717319920659</v>
      </c>
      <c r="H631" t="s">
        <v>420</v>
      </c>
      <c r="I631" t="s">
        <v>35</v>
      </c>
      <c r="J631">
        <v>1</v>
      </c>
      <c r="K631">
        <v>68</v>
      </c>
      <c r="L631" t="s">
        <v>362</v>
      </c>
      <c r="M631">
        <v>2436</v>
      </c>
      <c r="N631">
        <v>2.541833290830255</v>
      </c>
      <c r="O631">
        <v>10.84312501270324</v>
      </c>
      <c r="P631">
        <v>4.5525269471108913</v>
      </c>
      <c r="Q631">
        <v>14.856358869001269</v>
      </c>
      <c r="R631">
        <v>0</v>
      </c>
      <c r="S631" t="s">
        <v>322</v>
      </c>
      <c r="T631">
        <v>2024</v>
      </c>
      <c r="U631" s="1">
        <v>45901.600802198707</v>
      </c>
      <c r="V631" t="s">
        <v>32</v>
      </c>
      <c r="W631" t="s">
        <v>182</v>
      </c>
      <c r="X631">
        <v>1.1989163626509769</v>
      </c>
      <c r="Y631">
        <v>1.1792994271244011</v>
      </c>
      <c r="Z631">
        <v>2.1568749872967601</v>
      </c>
      <c r="AA631">
        <v>2.5123152709359609</v>
      </c>
      <c r="AB631">
        <v>0.40060806697179457</v>
      </c>
    </row>
    <row r="632" spans="1:28" x14ac:dyDescent="0.25">
      <c r="A632">
        <v>2</v>
      </c>
      <c r="B632">
        <v>28</v>
      </c>
      <c r="C632">
        <v>12</v>
      </c>
      <c r="D632">
        <v>8117</v>
      </c>
      <c r="E632">
        <v>36</v>
      </c>
      <c r="F632">
        <v>10</v>
      </c>
      <c r="G632">
        <v>10.64595346339047</v>
      </c>
      <c r="H632" t="s">
        <v>429</v>
      </c>
      <c r="I632" t="s">
        <v>35</v>
      </c>
      <c r="J632">
        <v>1</v>
      </c>
      <c r="K632">
        <v>49</v>
      </c>
      <c r="L632" t="s">
        <v>352</v>
      </c>
      <c r="M632">
        <v>1604</v>
      </c>
      <c r="N632">
        <v>5.3398514930158854</v>
      </c>
      <c r="O632">
        <v>12.91928361356258</v>
      </c>
      <c r="P632">
        <v>5.2707184161990881</v>
      </c>
      <c r="Q632">
        <v>18.696467697620388</v>
      </c>
      <c r="R632">
        <v>3</v>
      </c>
      <c r="S632" t="s">
        <v>322</v>
      </c>
      <c r="T632">
        <v>2024</v>
      </c>
      <c r="U632" s="1">
        <v>45901.600802198707</v>
      </c>
      <c r="V632" t="s">
        <v>32</v>
      </c>
      <c r="W632" t="s">
        <v>182</v>
      </c>
      <c r="X632">
        <v>0.9288440720817116</v>
      </c>
      <c r="Y632">
        <v>0.9393240384140521</v>
      </c>
      <c r="Z632">
        <v>-0.91928361356258392</v>
      </c>
      <c r="AA632">
        <v>2.7493765586034908</v>
      </c>
      <c r="AB632">
        <v>0.72489745961386065</v>
      </c>
    </row>
    <row r="633" spans="1:28" x14ac:dyDescent="0.25">
      <c r="A633">
        <v>8</v>
      </c>
      <c r="B633">
        <v>32</v>
      </c>
      <c r="C633">
        <v>11</v>
      </c>
      <c r="D633">
        <v>956</v>
      </c>
      <c r="E633">
        <v>50</v>
      </c>
      <c r="F633">
        <v>8</v>
      </c>
      <c r="G633">
        <v>10.526525600813329</v>
      </c>
      <c r="H633" t="s">
        <v>364</v>
      </c>
      <c r="I633" t="s">
        <v>49</v>
      </c>
      <c r="J633">
        <v>0</v>
      </c>
      <c r="K633">
        <v>69</v>
      </c>
      <c r="L633" t="s">
        <v>365</v>
      </c>
      <c r="M633">
        <v>2800</v>
      </c>
      <c r="N633">
        <v>4.2506132759153843</v>
      </c>
      <c r="O633">
        <v>12.79985566716641</v>
      </c>
      <c r="P633">
        <v>5.942930793389678</v>
      </c>
      <c r="Q633">
        <v>19.27825254201889</v>
      </c>
      <c r="R633">
        <v>4</v>
      </c>
      <c r="S633" t="s">
        <v>322</v>
      </c>
      <c r="T633">
        <v>2024</v>
      </c>
      <c r="U633" s="1">
        <v>45901.600802198707</v>
      </c>
      <c r="V633" t="s">
        <v>32</v>
      </c>
      <c r="W633" t="s">
        <v>182</v>
      </c>
      <c r="X633">
        <v>0.85938469042402432</v>
      </c>
      <c r="Y633">
        <v>0.7599848519232103</v>
      </c>
      <c r="Z633">
        <v>-1.7998556671664121</v>
      </c>
      <c r="AA633">
        <v>2.217857142857143</v>
      </c>
      <c r="AB633">
        <v>0.41142393215892042</v>
      </c>
    </row>
    <row r="634" spans="1:28" x14ac:dyDescent="0.25">
      <c r="A634">
        <v>4</v>
      </c>
      <c r="B634">
        <v>30</v>
      </c>
      <c r="C634">
        <v>11</v>
      </c>
      <c r="D634">
        <v>3310</v>
      </c>
      <c r="E634">
        <v>25</v>
      </c>
      <c r="F634">
        <v>10</v>
      </c>
      <c r="G634">
        <v>6.1090890467166901</v>
      </c>
      <c r="H634" t="s">
        <v>386</v>
      </c>
      <c r="I634" t="s">
        <v>35</v>
      </c>
      <c r="J634">
        <v>0</v>
      </c>
      <c r="K634">
        <v>42</v>
      </c>
      <c r="L634" t="s">
        <v>333</v>
      </c>
      <c r="M634">
        <v>1930</v>
      </c>
      <c r="N634">
        <v>3.2658191584050651</v>
      </c>
      <c r="O634">
        <v>6.8668656945228577</v>
      </c>
      <c r="P634">
        <v>6.668403459712863</v>
      </c>
      <c r="Q634">
        <v>13.179648963734509</v>
      </c>
      <c r="R634">
        <v>3</v>
      </c>
      <c r="S634" t="s">
        <v>322</v>
      </c>
      <c r="T634">
        <v>2024</v>
      </c>
      <c r="U634" s="1">
        <v>45901.600802198707</v>
      </c>
      <c r="V634" t="s">
        <v>32</v>
      </c>
      <c r="W634" t="s">
        <v>182</v>
      </c>
      <c r="X634">
        <v>1.6018953172149279</v>
      </c>
      <c r="Y634">
        <v>1.6369052609201149</v>
      </c>
      <c r="Z634">
        <v>4.1331343054771423</v>
      </c>
      <c r="AA634">
        <v>1.958549222797928</v>
      </c>
      <c r="AB634">
        <v>0.32021653497774988</v>
      </c>
    </row>
    <row r="635" spans="1:28" x14ac:dyDescent="0.25">
      <c r="A635">
        <v>2</v>
      </c>
      <c r="B635">
        <v>31</v>
      </c>
      <c r="C635">
        <v>11</v>
      </c>
      <c r="D635">
        <v>12934</v>
      </c>
      <c r="E635">
        <v>26</v>
      </c>
      <c r="F635">
        <v>9</v>
      </c>
      <c r="G635">
        <v>6.7374812131747603</v>
      </c>
      <c r="H635" t="s">
        <v>430</v>
      </c>
      <c r="I635" t="s">
        <v>35</v>
      </c>
      <c r="J635">
        <v>0</v>
      </c>
      <c r="K635">
        <v>49</v>
      </c>
      <c r="L635" t="s">
        <v>431</v>
      </c>
      <c r="M635">
        <v>1901</v>
      </c>
      <c r="N635">
        <v>2.288626646623015</v>
      </c>
      <c r="O635">
        <v>8.2530345609411597</v>
      </c>
      <c r="P635">
        <v>6.3784140115603796</v>
      </c>
      <c r="Q635">
        <v>12.449354909360411</v>
      </c>
      <c r="R635">
        <v>2</v>
      </c>
      <c r="S635" t="s">
        <v>322</v>
      </c>
      <c r="T635">
        <v>2024</v>
      </c>
      <c r="U635" s="1">
        <v>45901.600802198707</v>
      </c>
      <c r="V635" t="s">
        <v>32</v>
      </c>
      <c r="W635" t="s">
        <v>182</v>
      </c>
      <c r="X635">
        <v>1.3328430795697019</v>
      </c>
      <c r="Y635">
        <v>1.335810774863611</v>
      </c>
      <c r="Z635">
        <v>2.7469654390588398</v>
      </c>
      <c r="AA635">
        <v>2.3198316675433981</v>
      </c>
      <c r="AB635">
        <v>0.39072756995513119</v>
      </c>
    </row>
    <row r="636" spans="1:28" x14ac:dyDescent="0.25">
      <c r="A636">
        <v>12</v>
      </c>
      <c r="B636">
        <v>31</v>
      </c>
      <c r="C636">
        <v>10</v>
      </c>
      <c r="D636">
        <v>8397</v>
      </c>
      <c r="E636">
        <v>56</v>
      </c>
      <c r="F636">
        <v>8</v>
      </c>
      <c r="G636">
        <v>7.0225357711315164</v>
      </c>
      <c r="H636" t="s">
        <v>432</v>
      </c>
      <c r="I636" t="s">
        <v>35</v>
      </c>
      <c r="J636">
        <v>0</v>
      </c>
      <c r="K636">
        <v>78</v>
      </c>
      <c r="L636" t="s">
        <v>331</v>
      </c>
      <c r="M636">
        <v>2365</v>
      </c>
      <c r="N636">
        <v>8.3169645890593529</v>
      </c>
      <c r="O636">
        <v>10.05364241823554</v>
      </c>
      <c r="P636">
        <v>10.96411384828389</v>
      </c>
      <c r="Q636">
        <v>20.830975562334061</v>
      </c>
      <c r="R636">
        <v>3</v>
      </c>
      <c r="S636" t="s">
        <v>322</v>
      </c>
      <c r="T636">
        <v>2024</v>
      </c>
      <c r="U636" s="1">
        <v>45901.600802198707</v>
      </c>
      <c r="V636" t="s">
        <v>32</v>
      </c>
      <c r="W636" t="s">
        <v>182</v>
      </c>
      <c r="X636">
        <v>0.99466437973383237</v>
      </c>
      <c r="Y636">
        <v>1.1391896404268489</v>
      </c>
      <c r="Z636">
        <v>-5.364241823554039E-2</v>
      </c>
      <c r="AA636">
        <v>2.9682875264270612</v>
      </c>
      <c r="AB636">
        <v>0.38259104340008387</v>
      </c>
    </row>
    <row r="637" spans="1:28" x14ac:dyDescent="0.25">
      <c r="A637">
        <v>7</v>
      </c>
      <c r="B637">
        <v>34</v>
      </c>
      <c r="C637">
        <v>10</v>
      </c>
      <c r="D637">
        <v>8791</v>
      </c>
      <c r="E637">
        <v>27</v>
      </c>
      <c r="F637">
        <v>10</v>
      </c>
      <c r="G637">
        <v>8.0556664988398552</v>
      </c>
      <c r="H637" t="s">
        <v>433</v>
      </c>
      <c r="I637" t="s">
        <v>35</v>
      </c>
      <c r="J637">
        <v>0</v>
      </c>
      <c r="K637">
        <v>61</v>
      </c>
      <c r="L637" t="s">
        <v>369</v>
      </c>
      <c r="M637">
        <v>2901</v>
      </c>
      <c r="N637">
        <v>4.3893588185310364</v>
      </c>
      <c r="O637">
        <v>8.0556664988398552</v>
      </c>
      <c r="P637">
        <v>10.24272784683853</v>
      </c>
      <c r="Q637">
        <v>19.250910731032491</v>
      </c>
      <c r="R637">
        <v>2</v>
      </c>
      <c r="S637" t="s">
        <v>322</v>
      </c>
      <c r="T637">
        <v>2024</v>
      </c>
      <c r="U637" s="1">
        <v>45901.600802198707</v>
      </c>
      <c r="V637" t="s">
        <v>32</v>
      </c>
      <c r="W637" t="s">
        <v>182</v>
      </c>
      <c r="X637">
        <v>1.241362213969528</v>
      </c>
      <c r="Y637">
        <v>1.241362213969528</v>
      </c>
      <c r="Z637">
        <v>1.944333501160145</v>
      </c>
      <c r="AA637">
        <v>1.892450879007239</v>
      </c>
      <c r="AB637">
        <v>0.2499172647003057</v>
      </c>
    </row>
    <row r="638" spans="1:28" x14ac:dyDescent="0.25">
      <c r="A638">
        <v>9</v>
      </c>
      <c r="B638">
        <v>31</v>
      </c>
      <c r="C638">
        <v>10</v>
      </c>
      <c r="D638">
        <v>13062</v>
      </c>
      <c r="E638">
        <v>35</v>
      </c>
      <c r="F638">
        <v>8</v>
      </c>
      <c r="G638">
        <v>9.3480494040995836</v>
      </c>
      <c r="H638" t="s">
        <v>434</v>
      </c>
      <c r="I638" t="s">
        <v>35</v>
      </c>
      <c r="J638">
        <v>0</v>
      </c>
      <c r="K638">
        <v>76</v>
      </c>
      <c r="L638" t="s">
        <v>325</v>
      </c>
      <c r="M638">
        <v>2512</v>
      </c>
      <c r="N638">
        <v>4.3084506224840879</v>
      </c>
      <c r="O638">
        <v>10.86360275931656</v>
      </c>
      <c r="P638">
        <v>5.1967724487185478</v>
      </c>
      <c r="Q638">
        <v>16.0257554166019</v>
      </c>
      <c r="R638">
        <v>6</v>
      </c>
      <c r="S638" t="s">
        <v>322</v>
      </c>
      <c r="T638">
        <v>2024</v>
      </c>
      <c r="U638" s="1">
        <v>45901.600802198707</v>
      </c>
      <c r="V638" t="s">
        <v>32</v>
      </c>
      <c r="W638" t="s">
        <v>182</v>
      </c>
      <c r="X638">
        <v>0.920504939434025</v>
      </c>
      <c r="Y638">
        <v>0.85579350880319516</v>
      </c>
      <c r="Z638">
        <v>-0.86360275931656361</v>
      </c>
      <c r="AA638">
        <v>2.7229299363057331</v>
      </c>
      <c r="AB638">
        <v>0.38922143644048202</v>
      </c>
    </row>
    <row r="639" spans="1:28" x14ac:dyDescent="0.25">
      <c r="A639">
        <v>6</v>
      </c>
      <c r="B639">
        <v>36</v>
      </c>
      <c r="C639">
        <v>22</v>
      </c>
      <c r="D639">
        <v>1513</v>
      </c>
      <c r="E639">
        <v>34</v>
      </c>
      <c r="F639">
        <v>18</v>
      </c>
      <c r="G639">
        <v>16.234050713479519</v>
      </c>
      <c r="H639" t="s">
        <v>435</v>
      </c>
      <c r="I639" t="s">
        <v>29</v>
      </c>
      <c r="J639">
        <v>0</v>
      </c>
      <c r="K639">
        <v>121</v>
      </c>
      <c r="L639" t="s">
        <v>436</v>
      </c>
      <c r="M639">
        <v>2897</v>
      </c>
      <c r="N639">
        <v>4.6076498227193952</v>
      </c>
      <c r="O639">
        <v>20.040542796254162</v>
      </c>
      <c r="P639">
        <v>4.9106154171749949</v>
      </c>
      <c r="Q639">
        <v>23.242992505431172</v>
      </c>
      <c r="R639">
        <v>4</v>
      </c>
      <c r="S639" t="s">
        <v>437</v>
      </c>
      <c r="T639">
        <v>2014</v>
      </c>
      <c r="U639" s="1">
        <v>45901.600802198707</v>
      </c>
      <c r="V639" t="s">
        <v>32</v>
      </c>
      <c r="W639" t="s">
        <v>33</v>
      </c>
      <c r="X639">
        <v>1.0977746572868321</v>
      </c>
      <c r="Y639">
        <v>1.1087805697843589</v>
      </c>
      <c r="Z639">
        <v>1.959457203745838</v>
      </c>
      <c r="AA639">
        <v>3.7590610976872632</v>
      </c>
      <c r="AB639">
        <v>0.62259194051186562</v>
      </c>
    </row>
    <row r="640" spans="1:28" x14ac:dyDescent="0.25">
      <c r="A640">
        <v>2</v>
      </c>
      <c r="B640">
        <v>38</v>
      </c>
      <c r="C640">
        <v>22</v>
      </c>
      <c r="D640">
        <v>1955</v>
      </c>
      <c r="E640">
        <v>27</v>
      </c>
      <c r="F640">
        <v>18</v>
      </c>
      <c r="G640">
        <v>16.63697815686464</v>
      </c>
      <c r="H640" t="s">
        <v>438</v>
      </c>
      <c r="I640" t="s">
        <v>29</v>
      </c>
      <c r="J640">
        <v>0</v>
      </c>
      <c r="K640">
        <v>125</v>
      </c>
      <c r="L640" t="s">
        <v>439</v>
      </c>
      <c r="M640">
        <v>3228</v>
      </c>
      <c r="N640">
        <v>2.9142521759495139</v>
      </c>
      <c r="O640">
        <v>21.204779289662842</v>
      </c>
      <c r="P640">
        <v>3.1060433425009251</v>
      </c>
      <c r="Q640">
        <v>18.81055624037981</v>
      </c>
      <c r="R640">
        <v>3</v>
      </c>
      <c r="S640" t="s">
        <v>437</v>
      </c>
      <c r="T640">
        <v>2014</v>
      </c>
      <c r="U640" s="1">
        <v>45901.600802198707</v>
      </c>
      <c r="V640" t="s">
        <v>32</v>
      </c>
      <c r="W640" t="s">
        <v>33</v>
      </c>
      <c r="X640">
        <v>1.0375019564917061</v>
      </c>
      <c r="Y640">
        <v>1.0819272484632649</v>
      </c>
      <c r="Z640">
        <v>0.79522071033715847</v>
      </c>
      <c r="AA640">
        <v>3.485130111524164</v>
      </c>
      <c r="AB640">
        <v>0.5912113184850234</v>
      </c>
    </row>
    <row r="641" spans="1:28" x14ac:dyDescent="0.25">
      <c r="A641">
        <v>7</v>
      </c>
      <c r="B641">
        <v>32</v>
      </c>
      <c r="C641">
        <v>20</v>
      </c>
      <c r="D641">
        <v>3848</v>
      </c>
      <c r="E641">
        <v>61</v>
      </c>
      <c r="F641">
        <v>18</v>
      </c>
      <c r="G641">
        <v>10.32702921703458</v>
      </c>
      <c r="H641" t="s">
        <v>440</v>
      </c>
      <c r="I641" t="s">
        <v>35</v>
      </c>
      <c r="J641">
        <v>0</v>
      </c>
      <c r="K641">
        <v>114</v>
      </c>
      <c r="L641" t="s">
        <v>441</v>
      </c>
      <c r="M641">
        <v>2594</v>
      </c>
      <c r="N641">
        <v>5.0165790002793074</v>
      </c>
      <c r="O641">
        <v>13.37214322760701</v>
      </c>
      <c r="P641">
        <v>8.9075380899012089</v>
      </c>
      <c r="Q641">
        <v>20.00764187425375</v>
      </c>
      <c r="R641">
        <v>6</v>
      </c>
      <c r="S641" t="s">
        <v>437</v>
      </c>
      <c r="T641">
        <v>2014</v>
      </c>
      <c r="U641" s="1">
        <v>45901.600802198707</v>
      </c>
      <c r="V641" t="s">
        <v>32</v>
      </c>
      <c r="W641" t="s">
        <v>33</v>
      </c>
      <c r="X641">
        <v>1.4956465586391321</v>
      </c>
      <c r="Y641">
        <v>1.74299884523506</v>
      </c>
      <c r="Z641">
        <v>6.6278567723929882</v>
      </c>
      <c r="AA641">
        <v>3.955281418658442</v>
      </c>
      <c r="AB641">
        <v>0.46395254066485392</v>
      </c>
    </row>
    <row r="642" spans="1:28" x14ac:dyDescent="0.25">
      <c r="A642">
        <v>7</v>
      </c>
      <c r="B642">
        <v>37</v>
      </c>
      <c r="C642">
        <v>18</v>
      </c>
      <c r="D642">
        <v>1293</v>
      </c>
      <c r="E642">
        <v>49</v>
      </c>
      <c r="F642">
        <v>15</v>
      </c>
      <c r="G642">
        <v>15.76832330226898</v>
      </c>
      <c r="H642" t="s">
        <v>442</v>
      </c>
      <c r="I642" t="s">
        <v>29</v>
      </c>
      <c r="J642">
        <v>0</v>
      </c>
      <c r="K642">
        <v>113</v>
      </c>
      <c r="L642" t="s">
        <v>443</v>
      </c>
      <c r="M642">
        <v>2786</v>
      </c>
      <c r="N642">
        <v>4.082174202427268</v>
      </c>
      <c r="O642">
        <v>21.097405649721619</v>
      </c>
      <c r="P642">
        <v>4.9173528542742133</v>
      </c>
      <c r="Q642">
        <v>22.711592271924019</v>
      </c>
      <c r="R642">
        <v>5</v>
      </c>
      <c r="S642" t="s">
        <v>437</v>
      </c>
      <c r="T642">
        <v>2014</v>
      </c>
      <c r="U642" s="1">
        <v>45901.600802198707</v>
      </c>
      <c r="V642" t="s">
        <v>32</v>
      </c>
      <c r="W642" t="s">
        <v>33</v>
      </c>
      <c r="X642">
        <v>0.85318547213114371</v>
      </c>
      <c r="Y642">
        <v>0.95127425487537887</v>
      </c>
      <c r="Z642">
        <v>-3.097405649721622</v>
      </c>
      <c r="AA642">
        <v>3.6503948312993542</v>
      </c>
      <c r="AB642">
        <v>0.68153858882804952</v>
      </c>
    </row>
    <row r="643" spans="1:28" x14ac:dyDescent="0.25">
      <c r="A643">
        <v>4</v>
      </c>
      <c r="B643">
        <v>33</v>
      </c>
      <c r="C643">
        <v>16</v>
      </c>
      <c r="D643">
        <v>2014</v>
      </c>
      <c r="E643">
        <v>46</v>
      </c>
      <c r="F643">
        <v>8</v>
      </c>
      <c r="G643">
        <v>4.846598451025784</v>
      </c>
      <c r="H643" t="s">
        <v>444</v>
      </c>
      <c r="I643" t="s">
        <v>35</v>
      </c>
      <c r="J643">
        <v>1</v>
      </c>
      <c r="K643">
        <v>78</v>
      </c>
      <c r="L643" t="s">
        <v>445</v>
      </c>
      <c r="M643">
        <v>2713</v>
      </c>
      <c r="N643">
        <v>4.3796913046389818</v>
      </c>
      <c r="O643">
        <v>10.93686656747013</v>
      </c>
      <c r="P643">
        <v>6.88968809787184</v>
      </c>
      <c r="Q643">
        <v>13.755920260213321</v>
      </c>
      <c r="R643">
        <v>3</v>
      </c>
      <c r="S643" t="s">
        <v>437</v>
      </c>
      <c r="T643">
        <v>2014</v>
      </c>
      <c r="U643" s="1">
        <v>45901.600802198707</v>
      </c>
      <c r="V643" t="s">
        <v>32</v>
      </c>
      <c r="W643" t="s">
        <v>33</v>
      </c>
      <c r="X643">
        <v>1.462941867425658</v>
      </c>
      <c r="Y643">
        <v>1.6506422145013471</v>
      </c>
      <c r="Z643">
        <v>5.0631334325298676</v>
      </c>
      <c r="AA643">
        <v>2.58754146701069</v>
      </c>
      <c r="AB643">
        <v>0.36281533028835672</v>
      </c>
    </row>
    <row r="644" spans="1:28" x14ac:dyDescent="0.25">
      <c r="A644">
        <v>3</v>
      </c>
      <c r="B644">
        <v>33</v>
      </c>
      <c r="C644">
        <v>15</v>
      </c>
      <c r="D644">
        <v>1383</v>
      </c>
      <c r="E644">
        <v>32</v>
      </c>
      <c r="F644">
        <v>15</v>
      </c>
      <c r="G644">
        <v>6.8005421962589034</v>
      </c>
      <c r="H644" t="s">
        <v>446</v>
      </c>
      <c r="I644" t="s">
        <v>35</v>
      </c>
      <c r="J644">
        <v>0</v>
      </c>
      <c r="K644">
        <v>87</v>
      </c>
      <c r="L644" t="s">
        <v>447</v>
      </c>
      <c r="M644">
        <v>1837</v>
      </c>
      <c r="N644">
        <v>4.4170007305219769</v>
      </c>
      <c r="O644">
        <v>6.8005421962589034</v>
      </c>
      <c r="P644">
        <v>3.192590019665658</v>
      </c>
      <c r="Q644">
        <v>10.329795890487731</v>
      </c>
      <c r="R644">
        <v>5</v>
      </c>
      <c r="S644" t="s">
        <v>437</v>
      </c>
      <c r="T644">
        <v>2014</v>
      </c>
      <c r="U644" s="1">
        <v>45901.600802198707</v>
      </c>
      <c r="V644" t="s">
        <v>32</v>
      </c>
      <c r="W644" t="s">
        <v>33</v>
      </c>
      <c r="X644">
        <v>2.205706481499631</v>
      </c>
      <c r="Y644">
        <v>2.205706481499631</v>
      </c>
      <c r="Z644">
        <v>8.1994578037410975</v>
      </c>
      <c r="AA644">
        <v>4.2623843222645617</v>
      </c>
      <c r="AB644">
        <v>0.3331784418417536</v>
      </c>
    </row>
    <row r="645" spans="1:28" x14ac:dyDescent="0.25">
      <c r="A645">
        <v>10</v>
      </c>
      <c r="B645">
        <v>32</v>
      </c>
      <c r="C645">
        <v>15</v>
      </c>
      <c r="D645">
        <v>1612</v>
      </c>
      <c r="E645">
        <v>48</v>
      </c>
      <c r="F645">
        <v>9</v>
      </c>
      <c r="G645">
        <v>7.0395560627803206</v>
      </c>
      <c r="H645" t="s">
        <v>448</v>
      </c>
      <c r="I645" t="s">
        <v>32</v>
      </c>
      <c r="J645">
        <v>1</v>
      </c>
      <c r="K645">
        <v>95</v>
      </c>
      <c r="L645" t="s">
        <v>449</v>
      </c>
      <c r="M645">
        <v>2700</v>
      </c>
      <c r="N645">
        <v>5.605741148814559</v>
      </c>
      <c r="O645">
        <v>12.368604891933501</v>
      </c>
      <c r="P645">
        <v>5.7617889884859324</v>
      </c>
      <c r="Q645">
        <v>14.382551290094851</v>
      </c>
      <c r="R645">
        <v>13</v>
      </c>
      <c r="S645" t="s">
        <v>437</v>
      </c>
      <c r="T645">
        <v>2014</v>
      </c>
      <c r="U645" s="1">
        <v>45901.600802198707</v>
      </c>
      <c r="V645" t="s">
        <v>32</v>
      </c>
      <c r="W645" t="s">
        <v>33</v>
      </c>
      <c r="X645">
        <v>1.2127479316428511</v>
      </c>
      <c r="Y645">
        <v>1.2784897115295351</v>
      </c>
      <c r="Z645">
        <v>2.6313951080664988</v>
      </c>
      <c r="AA645">
        <v>3.166666666666667</v>
      </c>
      <c r="AB645">
        <v>0.41228682973111669</v>
      </c>
    </row>
    <row r="646" spans="1:28" x14ac:dyDescent="0.25">
      <c r="A646">
        <v>7</v>
      </c>
      <c r="B646">
        <v>33</v>
      </c>
      <c r="C646">
        <v>14</v>
      </c>
      <c r="D646">
        <v>1888</v>
      </c>
      <c r="E646">
        <v>58</v>
      </c>
      <c r="F646">
        <v>13</v>
      </c>
      <c r="G646">
        <v>7.2205918617546558</v>
      </c>
      <c r="H646" t="s">
        <v>450</v>
      </c>
      <c r="I646" t="s">
        <v>29</v>
      </c>
      <c r="J646">
        <v>0</v>
      </c>
      <c r="K646">
        <v>76</v>
      </c>
      <c r="L646" t="s">
        <v>451</v>
      </c>
      <c r="M646">
        <v>2388</v>
      </c>
      <c r="N646">
        <v>5.7636038642376661</v>
      </c>
      <c r="O646">
        <v>7.9818858988583088</v>
      </c>
      <c r="P646">
        <v>0.90130231715738762</v>
      </c>
      <c r="Q646">
        <v>10.204473227262501</v>
      </c>
      <c r="R646">
        <v>4</v>
      </c>
      <c r="S646" t="s">
        <v>437</v>
      </c>
      <c r="T646">
        <v>2014</v>
      </c>
      <c r="U646" s="1">
        <v>45901.600802198707</v>
      </c>
      <c r="V646" t="s">
        <v>32</v>
      </c>
      <c r="W646" t="s">
        <v>33</v>
      </c>
      <c r="X646">
        <v>1.7539714520352261</v>
      </c>
      <c r="Y646">
        <v>1.800406427741355</v>
      </c>
      <c r="Z646">
        <v>6.0181141011416912</v>
      </c>
      <c r="AA646">
        <v>2.8643216080402012</v>
      </c>
      <c r="AB646">
        <v>0.30082484543435839</v>
      </c>
    </row>
    <row r="647" spans="1:28" x14ac:dyDescent="0.25">
      <c r="A647">
        <v>3</v>
      </c>
      <c r="B647">
        <v>32</v>
      </c>
      <c r="C647">
        <v>13</v>
      </c>
      <c r="D647">
        <v>1185</v>
      </c>
      <c r="E647">
        <v>48</v>
      </c>
      <c r="F647">
        <v>11</v>
      </c>
      <c r="G647">
        <v>7.7286825207993388</v>
      </c>
      <c r="H647" t="s">
        <v>452</v>
      </c>
      <c r="I647" t="s">
        <v>35</v>
      </c>
      <c r="J647">
        <v>0</v>
      </c>
      <c r="K647">
        <v>62</v>
      </c>
      <c r="L647" t="s">
        <v>453</v>
      </c>
      <c r="M647">
        <v>2369</v>
      </c>
      <c r="N647">
        <v>4.4786855615675449</v>
      </c>
      <c r="O647">
        <v>9.2512805191799998</v>
      </c>
      <c r="P647">
        <v>5.3297329675406218</v>
      </c>
      <c r="Q647">
        <v>15.05641139578074</v>
      </c>
      <c r="R647">
        <v>6</v>
      </c>
      <c r="S647" t="s">
        <v>437</v>
      </c>
      <c r="T647">
        <v>2014</v>
      </c>
      <c r="U647" s="1">
        <v>45901.600802198707</v>
      </c>
      <c r="V647" t="s">
        <v>32</v>
      </c>
      <c r="W647" t="s">
        <v>33</v>
      </c>
      <c r="X647">
        <v>1.405210875732074</v>
      </c>
      <c r="Y647">
        <v>1.4232697449270211</v>
      </c>
      <c r="Z647">
        <v>3.7487194808200002</v>
      </c>
      <c r="AA647">
        <v>2.355424229632757</v>
      </c>
      <c r="AB647">
        <v>0.35146274661300131</v>
      </c>
    </row>
    <row r="648" spans="1:28" x14ac:dyDescent="0.25">
      <c r="A648">
        <v>4</v>
      </c>
      <c r="B648">
        <v>34</v>
      </c>
      <c r="C648">
        <v>13</v>
      </c>
      <c r="D648">
        <v>1230</v>
      </c>
      <c r="E648">
        <v>37</v>
      </c>
      <c r="F648">
        <v>10</v>
      </c>
      <c r="G648">
        <v>10.353498844429851</v>
      </c>
      <c r="H648" t="s">
        <v>454</v>
      </c>
      <c r="I648" t="s">
        <v>35</v>
      </c>
      <c r="J648">
        <v>0</v>
      </c>
      <c r="K648">
        <v>124</v>
      </c>
      <c r="L648" t="s">
        <v>455</v>
      </c>
      <c r="M648">
        <v>2810</v>
      </c>
      <c r="N648">
        <v>5.0615276414901018</v>
      </c>
      <c r="O648">
        <v>12.63739090971649</v>
      </c>
      <c r="P648">
        <v>1.977236513979733</v>
      </c>
      <c r="Q648">
        <v>14.621725354343649</v>
      </c>
      <c r="R648">
        <v>3</v>
      </c>
      <c r="S648" t="s">
        <v>437</v>
      </c>
      <c r="T648">
        <v>2014</v>
      </c>
      <c r="U648" s="1">
        <v>45901.600802198707</v>
      </c>
      <c r="V648" t="s">
        <v>32</v>
      </c>
      <c r="W648" t="s">
        <v>33</v>
      </c>
      <c r="X648">
        <v>1.028693350777391</v>
      </c>
      <c r="Y648">
        <v>0.96585706438553076</v>
      </c>
      <c r="Z648">
        <v>0.36260909028351129</v>
      </c>
      <c r="AA648">
        <v>3.9715302491103199</v>
      </c>
      <c r="AB648">
        <v>0.40475629248202277</v>
      </c>
    </row>
    <row r="649" spans="1:28" x14ac:dyDescent="0.25">
      <c r="A649">
        <v>10</v>
      </c>
      <c r="B649">
        <v>34</v>
      </c>
      <c r="C649">
        <v>13</v>
      </c>
      <c r="D649">
        <v>1294</v>
      </c>
      <c r="E649">
        <v>58</v>
      </c>
      <c r="F649">
        <v>10</v>
      </c>
      <c r="G649">
        <v>13.80446871928871</v>
      </c>
      <c r="H649" t="s">
        <v>456</v>
      </c>
      <c r="I649" t="s">
        <v>32</v>
      </c>
      <c r="J649">
        <v>0</v>
      </c>
      <c r="K649">
        <v>117</v>
      </c>
      <c r="L649" t="s">
        <v>457</v>
      </c>
      <c r="M649">
        <v>2972</v>
      </c>
      <c r="N649">
        <v>5.2793608019128442</v>
      </c>
      <c r="O649">
        <v>16.088287739083171</v>
      </c>
      <c r="P649">
        <v>7.618318185210228</v>
      </c>
      <c r="Q649">
        <v>21.396773502230641</v>
      </c>
      <c r="R649">
        <v>3</v>
      </c>
      <c r="S649" t="s">
        <v>437</v>
      </c>
      <c r="T649">
        <v>2014</v>
      </c>
      <c r="U649" s="1">
        <v>45901.600802198707</v>
      </c>
      <c r="V649" t="s">
        <v>32</v>
      </c>
      <c r="W649" t="s">
        <v>33</v>
      </c>
      <c r="X649">
        <v>0.8080412416057916</v>
      </c>
      <c r="Y649">
        <v>0.72440310477339842</v>
      </c>
      <c r="Z649">
        <v>-3.0882877390831709</v>
      </c>
      <c r="AA649">
        <v>3.5430686406460299</v>
      </c>
      <c r="AB649">
        <v>0.48719579290628712</v>
      </c>
    </row>
    <row r="650" spans="1:28" x14ac:dyDescent="0.25">
      <c r="A650">
        <v>6</v>
      </c>
      <c r="B650">
        <v>34</v>
      </c>
      <c r="C650">
        <v>13</v>
      </c>
      <c r="D650">
        <v>1878</v>
      </c>
      <c r="E650">
        <v>22</v>
      </c>
      <c r="F650">
        <v>13</v>
      </c>
      <c r="G650">
        <v>11.33358334377408</v>
      </c>
      <c r="H650" t="s">
        <v>458</v>
      </c>
      <c r="I650" t="s">
        <v>29</v>
      </c>
      <c r="J650">
        <v>0</v>
      </c>
      <c r="K650">
        <v>38</v>
      </c>
      <c r="L650" t="s">
        <v>459</v>
      </c>
      <c r="M650">
        <v>1828</v>
      </c>
      <c r="N650">
        <v>4.1957411859184504</v>
      </c>
      <c r="O650">
        <v>11.33358334377408</v>
      </c>
      <c r="P650">
        <v>3.697893854230641</v>
      </c>
      <c r="Q650">
        <v>16.795620743185282</v>
      </c>
      <c r="R650">
        <v>5</v>
      </c>
      <c r="S650" t="s">
        <v>437</v>
      </c>
      <c r="T650">
        <v>2014</v>
      </c>
      <c r="U650" s="1">
        <v>45901.600802198707</v>
      </c>
      <c r="V650" t="s">
        <v>32</v>
      </c>
      <c r="W650" t="s">
        <v>33</v>
      </c>
      <c r="X650">
        <v>1.14703352026271</v>
      </c>
      <c r="Y650">
        <v>1.14703352026271</v>
      </c>
      <c r="Z650">
        <v>1.6664166562259199</v>
      </c>
      <c r="AA650">
        <v>1.8708971553610501</v>
      </c>
      <c r="AB650">
        <v>0.55799917994511328</v>
      </c>
    </row>
    <row r="651" spans="1:28" x14ac:dyDescent="0.25">
      <c r="A651">
        <v>2</v>
      </c>
      <c r="B651">
        <v>31</v>
      </c>
      <c r="C651">
        <v>11</v>
      </c>
      <c r="D651">
        <v>1642</v>
      </c>
      <c r="E651">
        <v>14</v>
      </c>
      <c r="F651">
        <v>10</v>
      </c>
      <c r="G651">
        <v>8.6515920627862215</v>
      </c>
      <c r="H651" t="s">
        <v>264</v>
      </c>
      <c r="I651" t="s">
        <v>29</v>
      </c>
      <c r="J651">
        <v>0</v>
      </c>
      <c r="K651">
        <v>77</v>
      </c>
      <c r="L651" t="s">
        <v>449</v>
      </c>
      <c r="M651">
        <v>2597</v>
      </c>
      <c r="N651">
        <v>1.856889957562089</v>
      </c>
      <c r="O651">
        <v>10.174191014841201</v>
      </c>
      <c r="P651">
        <v>1.612621705979109</v>
      </c>
      <c r="Q651">
        <v>11.206031959503891</v>
      </c>
      <c r="R651">
        <v>11</v>
      </c>
      <c r="S651" t="s">
        <v>437</v>
      </c>
      <c r="T651">
        <v>2014</v>
      </c>
      <c r="U651" s="1">
        <v>45901.600802198707</v>
      </c>
      <c r="V651" t="s">
        <v>32</v>
      </c>
      <c r="W651" t="s">
        <v>33</v>
      </c>
      <c r="X651">
        <v>1.0811670415814081</v>
      </c>
      <c r="Y651">
        <v>1.155856624703075</v>
      </c>
      <c r="Z651">
        <v>0.8258089851587993</v>
      </c>
      <c r="AA651">
        <v>2.6684636118598379</v>
      </c>
      <c r="AB651">
        <v>0.3525903701716242</v>
      </c>
    </row>
    <row r="652" spans="1:28" x14ac:dyDescent="0.25">
      <c r="A652">
        <v>0</v>
      </c>
      <c r="B652">
        <v>37</v>
      </c>
      <c r="C652">
        <v>10</v>
      </c>
      <c r="D652">
        <v>1147</v>
      </c>
      <c r="E652">
        <v>24</v>
      </c>
      <c r="F652">
        <v>10</v>
      </c>
      <c r="G652">
        <v>6.9983614347875118</v>
      </c>
      <c r="H652" t="s">
        <v>460</v>
      </c>
      <c r="I652" t="s">
        <v>35</v>
      </c>
      <c r="J652">
        <v>0</v>
      </c>
      <c r="K652">
        <v>50</v>
      </c>
      <c r="L652" t="s">
        <v>451</v>
      </c>
      <c r="M652">
        <v>2476</v>
      </c>
      <c r="N652">
        <v>1.6587740918621421</v>
      </c>
      <c r="O652">
        <v>6.9983614347875118</v>
      </c>
      <c r="P652">
        <v>4.8859552480280399</v>
      </c>
      <c r="Q652">
        <v>11.67508523538709</v>
      </c>
      <c r="R652">
        <v>3</v>
      </c>
      <c r="S652" t="s">
        <v>437</v>
      </c>
      <c r="T652">
        <v>2014</v>
      </c>
      <c r="U652" s="1">
        <v>45901.600802198707</v>
      </c>
      <c r="V652" t="s">
        <v>32</v>
      </c>
      <c r="W652" t="s">
        <v>33</v>
      </c>
      <c r="X652">
        <v>1.428905907930379</v>
      </c>
      <c r="Y652">
        <v>1.428905907930379</v>
      </c>
      <c r="Z652">
        <v>3.0016385652124882</v>
      </c>
      <c r="AA652">
        <v>1.8174474959612279</v>
      </c>
      <c r="AB652">
        <v>0.25438308930972381</v>
      </c>
    </row>
    <row r="653" spans="1:28" x14ac:dyDescent="0.25">
      <c r="A653">
        <v>7</v>
      </c>
      <c r="B653">
        <v>32</v>
      </c>
      <c r="C653">
        <v>10</v>
      </c>
      <c r="D653">
        <v>1208</v>
      </c>
      <c r="E653">
        <v>35</v>
      </c>
      <c r="F653">
        <v>10</v>
      </c>
      <c r="G653">
        <v>6.3540867073461413</v>
      </c>
      <c r="H653" t="s">
        <v>461</v>
      </c>
      <c r="I653" t="s">
        <v>35</v>
      </c>
      <c r="J653">
        <v>0</v>
      </c>
      <c r="K653">
        <v>65</v>
      </c>
      <c r="L653" t="s">
        <v>459</v>
      </c>
      <c r="M653">
        <v>2095</v>
      </c>
      <c r="N653">
        <v>8.0580496592447162</v>
      </c>
      <c r="O653">
        <v>6.3540867073461413</v>
      </c>
      <c r="P653">
        <v>8.095050036907196</v>
      </c>
      <c r="Q653">
        <v>20.190941440872852</v>
      </c>
      <c r="R653">
        <v>5</v>
      </c>
      <c r="S653" t="s">
        <v>437</v>
      </c>
      <c r="T653">
        <v>2014</v>
      </c>
      <c r="U653" s="1">
        <v>45901.600802198707</v>
      </c>
      <c r="V653" t="s">
        <v>32</v>
      </c>
      <c r="W653" t="s">
        <v>33</v>
      </c>
      <c r="X653">
        <v>1.573790296005674</v>
      </c>
      <c r="Y653">
        <v>1.573790296005674</v>
      </c>
      <c r="Z653">
        <v>3.6459132926538591</v>
      </c>
      <c r="AA653">
        <v>2.7923627684964201</v>
      </c>
      <c r="AB653">
        <v>0.27296792537525189</v>
      </c>
    </row>
    <row r="654" spans="1:28" x14ac:dyDescent="0.25">
      <c r="A654">
        <v>7</v>
      </c>
      <c r="B654">
        <v>34</v>
      </c>
      <c r="C654">
        <v>10</v>
      </c>
      <c r="D654">
        <v>1315</v>
      </c>
      <c r="E654">
        <v>50</v>
      </c>
      <c r="F654">
        <v>9</v>
      </c>
      <c r="G654">
        <v>8.2146942457184196</v>
      </c>
      <c r="H654" t="s">
        <v>462</v>
      </c>
      <c r="I654" t="s">
        <v>29</v>
      </c>
      <c r="J654">
        <v>0</v>
      </c>
      <c r="K654">
        <v>87</v>
      </c>
      <c r="L654" t="s">
        <v>463</v>
      </c>
      <c r="M654">
        <v>2507</v>
      </c>
      <c r="N654">
        <v>7.5524974446743727</v>
      </c>
      <c r="O654">
        <v>8.9759932598099113</v>
      </c>
      <c r="P654">
        <v>3.1062757279723878</v>
      </c>
      <c r="Q654">
        <v>14.70212755165994</v>
      </c>
      <c r="R654">
        <v>4</v>
      </c>
      <c r="S654" t="s">
        <v>437</v>
      </c>
      <c r="T654">
        <v>2014</v>
      </c>
      <c r="U654" s="1">
        <v>45901.600802198707</v>
      </c>
      <c r="V654" t="s">
        <v>32</v>
      </c>
      <c r="W654" t="s">
        <v>33</v>
      </c>
      <c r="X654">
        <v>1.114082833013599</v>
      </c>
      <c r="Y654">
        <v>1.09559768517141</v>
      </c>
      <c r="Z654">
        <v>1.024006740190089</v>
      </c>
      <c r="AA654">
        <v>3.1232548863183092</v>
      </c>
      <c r="AB654">
        <v>0.32223350354323571</v>
      </c>
    </row>
    <row r="655" spans="1:28" x14ac:dyDescent="0.25">
      <c r="A655">
        <v>9</v>
      </c>
      <c r="B655">
        <v>34</v>
      </c>
      <c r="C655">
        <v>10</v>
      </c>
      <c r="D655">
        <v>1517</v>
      </c>
      <c r="E655">
        <v>58</v>
      </c>
      <c r="F655">
        <v>8</v>
      </c>
      <c r="G655">
        <v>8.2302710227668285</v>
      </c>
      <c r="H655" t="s">
        <v>464</v>
      </c>
      <c r="I655" t="s">
        <v>35</v>
      </c>
      <c r="J655">
        <v>0</v>
      </c>
      <c r="K655">
        <v>117</v>
      </c>
      <c r="L655" t="s">
        <v>459</v>
      </c>
      <c r="M655">
        <v>2656</v>
      </c>
      <c r="N655">
        <v>8.0765508320182562</v>
      </c>
      <c r="O655">
        <v>10.514121558517219</v>
      </c>
      <c r="P655">
        <v>7.2503051571547994</v>
      </c>
      <c r="Q655">
        <v>18.707102028653029</v>
      </c>
      <c r="R655">
        <v>6</v>
      </c>
      <c r="S655" t="s">
        <v>437</v>
      </c>
      <c r="T655">
        <v>2014</v>
      </c>
      <c r="U655" s="1">
        <v>45901.600802198707</v>
      </c>
      <c r="V655" t="s">
        <v>32</v>
      </c>
      <c r="W655" t="s">
        <v>33</v>
      </c>
      <c r="X655">
        <v>0.95110180573281078</v>
      </c>
      <c r="Y655">
        <v>0.97202145322677158</v>
      </c>
      <c r="Z655">
        <v>-0.51412155851721764</v>
      </c>
      <c r="AA655">
        <v>3.9646084337349401</v>
      </c>
      <c r="AB655">
        <v>0.3562767094377069</v>
      </c>
    </row>
    <row r="656" spans="1:28" x14ac:dyDescent="0.25">
      <c r="A656">
        <v>10</v>
      </c>
      <c r="B656">
        <v>37</v>
      </c>
      <c r="C656">
        <v>10</v>
      </c>
      <c r="D656">
        <v>1836</v>
      </c>
      <c r="E656">
        <v>68</v>
      </c>
      <c r="F656">
        <v>9</v>
      </c>
      <c r="G656">
        <v>7.5953348856419316</v>
      </c>
      <c r="H656" t="s">
        <v>465</v>
      </c>
      <c r="I656" t="s">
        <v>49</v>
      </c>
      <c r="J656">
        <v>0</v>
      </c>
      <c r="K656">
        <v>99</v>
      </c>
      <c r="L656" t="s">
        <v>457</v>
      </c>
      <c r="M656">
        <v>3231</v>
      </c>
      <c r="N656">
        <v>9.2390393558889645</v>
      </c>
      <c r="O656">
        <v>9.1179325934499502</v>
      </c>
      <c r="P656">
        <v>13.6650701155886</v>
      </c>
      <c r="Q656">
        <v>24.593123029917479</v>
      </c>
      <c r="R656">
        <v>7</v>
      </c>
      <c r="S656" t="s">
        <v>437</v>
      </c>
      <c r="T656">
        <v>2014</v>
      </c>
      <c r="U656" s="1">
        <v>45901.600802198707</v>
      </c>
      <c r="V656" t="s">
        <v>32</v>
      </c>
      <c r="W656" t="s">
        <v>33</v>
      </c>
      <c r="X656">
        <v>1.0967398472745571</v>
      </c>
      <c r="Y656">
        <v>1.184937877724578</v>
      </c>
      <c r="Z656">
        <v>0.88206740655004978</v>
      </c>
      <c r="AA656">
        <v>2.7576601671309189</v>
      </c>
      <c r="AB656">
        <v>0.25398140928829938</v>
      </c>
    </row>
    <row r="657" spans="1:28" x14ac:dyDescent="0.25">
      <c r="A657">
        <v>2</v>
      </c>
      <c r="B657">
        <v>35</v>
      </c>
      <c r="C657">
        <v>36</v>
      </c>
      <c r="D657">
        <v>1293</v>
      </c>
      <c r="E657">
        <v>51</v>
      </c>
      <c r="F657">
        <v>33</v>
      </c>
      <c r="G657">
        <v>25.011578992009159</v>
      </c>
      <c r="H657" t="s">
        <v>442</v>
      </c>
      <c r="I657" t="s">
        <v>32</v>
      </c>
      <c r="J657">
        <v>1</v>
      </c>
      <c r="K657">
        <v>182</v>
      </c>
      <c r="L657" t="s">
        <v>443</v>
      </c>
      <c r="M657">
        <v>2989</v>
      </c>
      <c r="N657">
        <v>2.704297391697764</v>
      </c>
      <c r="O657">
        <v>27.29548005759716</v>
      </c>
      <c r="P657">
        <v>5.310751342214644</v>
      </c>
      <c r="Q657">
        <v>30.054069217294451</v>
      </c>
      <c r="R657">
        <v>1</v>
      </c>
      <c r="S657" t="s">
        <v>437</v>
      </c>
      <c r="T657">
        <v>2015</v>
      </c>
      <c r="U657" s="1">
        <v>45901.600802198707</v>
      </c>
      <c r="V657" t="s">
        <v>32</v>
      </c>
      <c r="W657" t="s">
        <v>69</v>
      </c>
      <c r="X657">
        <v>1.318899683172273</v>
      </c>
      <c r="Y657">
        <v>1.3193889122531219</v>
      </c>
      <c r="Z657">
        <v>8.7045199424028397</v>
      </c>
      <c r="AA657">
        <v>5.4800936768149882</v>
      </c>
      <c r="AB657">
        <v>0.82187795422674614</v>
      </c>
    </row>
    <row r="658" spans="1:28" x14ac:dyDescent="0.25">
      <c r="A658">
        <v>9</v>
      </c>
      <c r="B658">
        <v>34</v>
      </c>
      <c r="C658">
        <v>19</v>
      </c>
      <c r="D658">
        <v>1294</v>
      </c>
      <c r="E658">
        <v>73</v>
      </c>
      <c r="F658">
        <v>13</v>
      </c>
      <c r="G658">
        <v>10.559543509036301</v>
      </c>
      <c r="H658" t="s">
        <v>456</v>
      </c>
      <c r="I658" t="s">
        <v>29</v>
      </c>
      <c r="J658">
        <v>0</v>
      </c>
      <c r="K658">
        <v>107</v>
      </c>
      <c r="L658" t="s">
        <v>441</v>
      </c>
      <c r="M658">
        <v>2480</v>
      </c>
      <c r="N658">
        <v>8.3187539242208004</v>
      </c>
      <c r="O658">
        <v>15.127294305711979</v>
      </c>
      <c r="P658">
        <v>7.2062335610389709</v>
      </c>
      <c r="Q658">
        <v>19.785405879840251</v>
      </c>
      <c r="R658">
        <v>1</v>
      </c>
      <c r="S658" t="s">
        <v>437</v>
      </c>
      <c r="T658">
        <v>2015</v>
      </c>
      <c r="U658" s="1">
        <v>45901.600802198707</v>
      </c>
      <c r="V658" t="s">
        <v>32</v>
      </c>
      <c r="W658" t="s">
        <v>69</v>
      </c>
      <c r="X658">
        <v>1.2560078237405421</v>
      </c>
      <c r="Y658">
        <v>1.231113825031857</v>
      </c>
      <c r="Z658">
        <v>3.8727056942880149</v>
      </c>
      <c r="AA658">
        <v>3.883064516129032</v>
      </c>
      <c r="AB658">
        <v>0.54897439012664462</v>
      </c>
    </row>
    <row r="659" spans="1:28" x14ac:dyDescent="0.25">
      <c r="A659">
        <v>2</v>
      </c>
      <c r="B659">
        <v>38</v>
      </c>
      <c r="C659">
        <v>18</v>
      </c>
      <c r="D659">
        <v>1125</v>
      </c>
      <c r="E659">
        <v>41</v>
      </c>
      <c r="F659">
        <v>16</v>
      </c>
      <c r="G659">
        <v>13.34766472317278</v>
      </c>
      <c r="H659" t="s">
        <v>202</v>
      </c>
      <c r="I659" t="s">
        <v>29</v>
      </c>
      <c r="J659">
        <v>0</v>
      </c>
      <c r="K659">
        <v>77</v>
      </c>
      <c r="L659" t="s">
        <v>445</v>
      </c>
      <c r="M659">
        <v>3179</v>
      </c>
      <c r="N659">
        <v>3.6577095044776802</v>
      </c>
      <c r="O659">
        <v>14.87026203237474</v>
      </c>
      <c r="P659">
        <v>3.2777329375967379</v>
      </c>
      <c r="Q659">
        <v>18.540677405893799</v>
      </c>
      <c r="R659">
        <v>2</v>
      </c>
      <c r="S659" t="s">
        <v>437</v>
      </c>
      <c r="T659">
        <v>2015</v>
      </c>
      <c r="U659" s="1">
        <v>45901.600802198707</v>
      </c>
      <c r="V659" t="s">
        <v>32</v>
      </c>
      <c r="W659" t="s">
        <v>69</v>
      </c>
      <c r="X659">
        <v>1.210469590973674</v>
      </c>
      <c r="Y659">
        <v>1.198711559799859</v>
      </c>
      <c r="Z659">
        <v>3.1297379676252599</v>
      </c>
      <c r="AA659">
        <v>2.179930795847751</v>
      </c>
      <c r="AB659">
        <v>0.42098885904804229</v>
      </c>
    </row>
    <row r="660" spans="1:28" x14ac:dyDescent="0.25">
      <c r="A660">
        <v>4</v>
      </c>
      <c r="B660">
        <v>33</v>
      </c>
      <c r="C660">
        <v>16</v>
      </c>
      <c r="D660">
        <v>1513</v>
      </c>
      <c r="E660">
        <v>32</v>
      </c>
      <c r="F660">
        <v>15</v>
      </c>
      <c r="G660">
        <v>11.84834321308881</v>
      </c>
      <c r="H660" t="s">
        <v>435</v>
      </c>
      <c r="I660" t="s">
        <v>29</v>
      </c>
      <c r="J660">
        <v>0</v>
      </c>
      <c r="K660">
        <v>57</v>
      </c>
      <c r="L660" t="s">
        <v>436</v>
      </c>
      <c r="M660">
        <v>2608</v>
      </c>
      <c r="N660">
        <v>5.1644200161099434</v>
      </c>
      <c r="O660">
        <v>13.37086017150432</v>
      </c>
      <c r="P660">
        <v>2.2934680059552202</v>
      </c>
      <c r="Q660">
        <v>16.03440346755087</v>
      </c>
      <c r="R660">
        <v>1</v>
      </c>
      <c r="S660" t="s">
        <v>437</v>
      </c>
      <c r="T660">
        <v>2015</v>
      </c>
      <c r="U660" s="1">
        <v>45901.600802198707</v>
      </c>
      <c r="V660" t="s">
        <v>32</v>
      </c>
      <c r="W660" t="s">
        <v>69</v>
      </c>
      <c r="X660">
        <v>1.1966320636647481</v>
      </c>
      <c r="Y660">
        <v>1.2659997883442109</v>
      </c>
      <c r="Z660">
        <v>2.62913982849568</v>
      </c>
      <c r="AA660">
        <v>1.967024539877301</v>
      </c>
      <c r="AB660">
        <v>0.46141772064240372</v>
      </c>
    </row>
    <row r="661" spans="1:28" x14ac:dyDescent="0.25">
      <c r="A661">
        <v>3</v>
      </c>
      <c r="B661">
        <v>25</v>
      </c>
      <c r="C661">
        <v>14</v>
      </c>
      <c r="D661">
        <v>1104</v>
      </c>
      <c r="E661">
        <v>23</v>
      </c>
      <c r="F661">
        <v>14</v>
      </c>
      <c r="G661">
        <v>10.40239370241761</v>
      </c>
      <c r="H661" t="s">
        <v>466</v>
      </c>
      <c r="I661" t="s">
        <v>29</v>
      </c>
      <c r="J661">
        <v>1</v>
      </c>
      <c r="K661">
        <v>67</v>
      </c>
      <c r="L661" t="s">
        <v>453</v>
      </c>
      <c r="M661">
        <v>1916</v>
      </c>
      <c r="N661">
        <v>2.015460422262549</v>
      </c>
      <c r="O661">
        <v>10.40239370241761</v>
      </c>
      <c r="P661">
        <v>3.7792016379535198</v>
      </c>
      <c r="Q661">
        <v>14.47656765580177</v>
      </c>
      <c r="R661">
        <v>3</v>
      </c>
      <c r="S661" t="s">
        <v>437</v>
      </c>
      <c r="T661">
        <v>2015</v>
      </c>
      <c r="U661" s="1">
        <v>45901.600802198707</v>
      </c>
      <c r="V661" t="s">
        <v>32</v>
      </c>
      <c r="W661" t="s">
        <v>69</v>
      </c>
      <c r="X661">
        <v>1.34584408170845</v>
      </c>
      <c r="Y661">
        <v>1.34584408170845</v>
      </c>
      <c r="Z661">
        <v>3.5976062975823879</v>
      </c>
      <c r="AA661">
        <v>3.1471816283924841</v>
      </c>
      <c r="AB661">
        <v>0.48863018435155792</v>
      </c>
    </row>
    <row r="662" spans="1:28" x14ac:dyDescent="0.25">
      <c r="A662">
        <v>6</v>
      </c>
      <c r="B662">
        <v>34</v>
      </c>
      <c r="C662">
        <v>14</v>
      </c>
      <c r="D662">
        <v>1250</v>
      </c>
      <c r="E662">
        <v>63</v>
      </c>
      <c r="F662">
        <v>14</v>
      </c>
      <c r="G662">
        <v>9.3771150680258888</v>
      </c>
      <c r="H662" t="s">
        <v>96</v>
      </c>
      <c r="I662" t="s">
        <v>35</v>
      </c>
      <c r="J662">
        <v>1</v>
      </c>
      <c r="K662">
        <v>72</v>
      </c>
      <c r="L662" t="s">
        <v>467</v>
      </c>
      <c r="M662">
        <v>2753</v>
      </c>
      <c r="N662">
        <v>7.0688739083707333</v>
      </c>
      <c r="O662">
        <v>9.3771150680258888</v>
      </c>
      <c r="P662">
        <v>10.7973919864744</v>
      </c>
      <c r="Q662">
        <v>23.043308533728119</v>
      </c>
      <c r="R662">
        <v>1</v>
      </c>
      <c r="S662" t="s">
        <v>437</v>
      </c>
      <c r="T662">
        <v>2015</v>
      </c>
      <c r="U662" s="1">
        <v>45901.600802198707</v>
      </c>
      <c r="V662" t="s">
        <v>32</v>
      </c>
      <c r="W662" t="s">
        <v>69</v>
      </c>
      <c r="X662">
        <v>1.4929965024890479</v>
      </c>
      <c r="Y662">
        <v>1.4929965024890479</v>
      </c>
      <c r="Z662">
        <v>4.6228849319741112</v>
      </c>
      <c r="AA662">
        <v>2.3537958590628412</v>
      </c>
      <c r="AB662">
        <v>0.30655298079270982</v>
      </c>
    </row>
    <row r="663" spans="1:28" x14ac:dyDescent="0.25">
      <c r="A663">
        <v>5</v>
      </c>
      <c r="B663">
        <v>37</v>
      </c>
      <c r="C663">
        <v>13</v>
      </c>
      <c r="D663">
        <v>1315</v>
      </c>
      <c r="E663">
        <v>38</v>
      </c>
      <c r="F663">
        <v>12</v>
      </c>
      <c r="G663">
        <v>9.2207558732479793</v>
      </c>
      <c r="H663" t="s">
        <v>462</v>
      </c>
      <c r="I663" t="s">
        <v>29</v>
      </c>
      <c r="J663">
        <v>0</v>
      </c>
      <c r="K663">
        <v>81</v>
      </c>
      <c r="L663" t="s">
        <v>463</v>
      </c>
      <c r="M663">
        <v>2779</v>
      </c>
      <c r="N663">
        <v>3.9287323094904409</v>
      </c>
      <c r="O663">
        <v>9.982053903862834</v>
      </c>
      <c r="P663">
        <v>3.214087818749249</v>
      </c>
      <c r="Q663">
        <v>13.47264647483826</v>
      </c>
      <c r="R663">
        <v>4</v>
      </c>
      <c r="S663" t="s">
        <v>437</v>
      </c>
      <c r="T663">
        <v>2015</v>
      </c>
      <c r="U663" s="1">
        <v>45901.600802198707</v>
      </c>
      <c r="V663" t="s">
        <v>32</v>
      </c>
      <c r="W663" t="s">
        <v>69</v>
      </c>
      <c r="X663">
        <v>1.302337186835796</v>
      </c>
      <c r="Y663">
        <v>1.3014117459519119</v>
      </c>
      <c r="Z663">
        <v>3.017946096137166</v>
      </c>
      <c r="AA663">
        <v>2.6232457718603812</v>
      </c>
      <c r="AB663">
        <v>0.32327630491099502</v>
      </c>
    </row>
    <row r="664" spans="1:28" x14ac:dyDescent="0.25">
      <c r="A664">
        <v>2</v>
      </c>
      <c r="B664">
        <v>33</v>
      </c>
      <c r="C664">
        <v>13</v>
      </c>
      <c r="D664">
        <v>1514</v>
      </c>
      <c r="E664">
        <v>20</v>
      </c>
      <c r="F664">
        <v>10</v>
      </c>
      <c r="G664">
        <v>7.5796639882028103</v>
      </c>
      <c r="H664" t="s">
        <v>468</v>
      </c>
      <c r="I664" t="s">
        <v>35</v>
      </c>
      <c r="J664">
        <v>0</v>
      </c>
      <c r="K664">
        <v>74</v>
      </c>
      <c r="L664" t="s">
        <v>469</v>
      </c>
      <c r="M664">
        <v>2398</v>
      </c>
      <c r="N664">
        <v>1.9397444818168881</v>
      </c>
      <c r="O664">
        <v>9.8635610900819302</v>
      </c>
      <c r="P664">
        <v>2.056775888428092</v>
      </c>
      <c r="Q664">
        <v>10.31868257373571</v>
      </c>
      <c r="R664">
        <v>3</v>
      </c>
      <c r="S664" t="s">
        <v>437</v>
      </c>
      <c r="T664">
        <v>2015</v>
      </c>
      <c r="U664" s="1">
        <v>45901.600802198707</v>
      </c>
      <c r="V664" t="s">
        <v>32</v>
      </c>
      <c r="W664" t="s">
        <v>69</v>
      </c>
      <c r="X664">
        <v>1.3179824083080749</v>
      </c>
      <c r="Y664">
        <v>1.319319697491111</v>
      </c>
      <c r="Z664">
        <v>3.1364389099180698</v>
      </c>
      <c r="AA664">
        <v>2.777314428690576</v>
      </c>
      <c r="AB664">
        <v>0.37019203423993902</v>
      </c>
    </row>
    <row r="665" spans="1:28" x14ac:dyDescent="0.25">
      <c r="A665">
        <v>4</v>
      </c>
      <c r="B665">
        <v>35</v>
      </c>
      <c r="C665">
        <v>12</v>
      </c>
      <c r="D665">
        <v>1186</v>
      </c>
      <c r="E665">
        <v>29</v>
      </c>
      <c r="F665">
        <v>8</v>
      </c>
      <c r="G665">
        <v>10.81099132634699</v>
      </c>
      <c r="H665" t="s">
        <v>470</v>
      </c>
      <c r="I665" t="s">
        <v>29</v>
      </c>
      <c r="J665">
        <v>0</v>
      </c>
      <c r="K665">
        <v>70</v>
      </c>
      <c r="L665" t="s">
        <v>455</v>
      </c>
      <c r="M665">
        <v>2606</v>
      </c>
      <c r="N665">
        <v>4.1794057674705982</v>
      </c>
      <c r="O665">
        <v>13.85618914477527</v>
      </c>
      <c r="P665">
        <v>2.8764801165089011</v>
      </c>
      <c r="Q665">
        <v>14.747687855735419</v>
      </c>
      <c r="R665">
        <v>4</v>
      </c>
      <c r="S665" t="s">
        <v>437</v>
      </c>
      <c r="T665">
        <v>2015</v>
      </c>
      <c r="U665" s="1">
        <v>45901.600802198707</v>
      </c>
      <c r="V665" t="s">
        <v>32</v>
      </c>
      <c r="W665" t="s">
        <v>69</v>
      </c>
      <c r="X665">
        <v>0.866038986233442</v>
      </c>
      <c r="Y665">
        <v>0.73998764391786642</v>
      </c>
      <c r="Z665">
        <v>-1.856189144775271</v>
      </c>
      <c r="AA665">
        <v>2.417498081350729</v>
      </c>
      <c r="AB665">
        <v>0.47853300960467171</v>
      </c>
    </row>
    <row r="666" spans="1:28" x14ac:dyDescent="0.25">
      <c r="A666">
        <v>10</v>
      </c>
      <c r="B666">
        <v>37</v>
      </c>
      <c r="C666">
        <v>12</v>
      </c>
      <c r="D666">
        <v>1393</v>
      </c>
      <c r="E666">
        <v>65</v>
      </c>
      <c r="F666">
        <v>10</v>
      </c>
      <c r="G666">
        <v>8.3858436364680529</v>
      </c>
      <c r="H666" t="s">
        <v>471</v>
      </c>
      <c r="I666" t="s">
        <v>35</v>
      </c>
      <c r="J666">
        <v>0</v>
      </c>
      <c r="K666">
        <v>134</v>
      </c>
      <c r="L666" t="s">
        <v>443</v>
      </c>
      <c r="M666">
        <v>2639</v>
      </c>
      <c r="N666">
        <v>9.1141521902754903</v>
      </c>
      <c r="O666">
        <v>9.9084410164505243</v>
      </c>
      <c r="P666">
        <v>8.5450348984450102</v>
      </c>
      <c r="Q666">
        <v>23.265476791188121</v>
      </c>
      <c r="R666">
        <v>2</v>
      </c>
      <c r="S666" t="s">
        <v>437</v>
      </c>
      <c r="T666">
        <v>2015</v>
      </c>
      <c r="U666" s="1">
        <v>45901.600802198707</v>
      </c>
      <c r="V666" t="s">
        <v>32</v>
      </c>
      <c r="W666" t="s">
        <v>69</v>
      </c>
      <c r="X666">
        <v>1.2110886041585109</v>
      </c>
      <c r="Y666">
        <v>1.192485864691343</v>
      </c>
      <c r="Z666">
        <v>2.0915589835494761</v>
      </c>
      <c r="AA666">
        <v>4.5699128457749154</v>
      </c>
      <c r="AB666">
        <v>0.33791576031850967</v>
      </c>
    </row>
    <row r="667" spans="1:28" x14ac:dyDescent="0.25">
      <c r="A667">
        <v>3</v>
      </c>
      <c r="B667">
        <v>36</v>
      </c>
      <c r="C667">
        <v>12</v>
      </c>
      <c r="D667">
        <v>1425</v>
      </c>
      <c r="E667">
        <v>18</v>
      </c>
      <c r="F667">
        <v>12</v>
      </c>
      <c r="G667">
        <v>16.415879627689719</v>
      </c>
      <c r="H667" t="s">
        <v>472</v>
      </c>
      <c r="I667" t="s">
        <v>35</v>
      </c>
      <c r="J667">
        <v>0</v>
      </c>
      <c r="K667">
        <v>72</v>
      </c>
      <c r="L667" t="s">
        <v>473</v>
      </c>
      <c r="M667">
        <v>2559</v>
      </c>
      <c r="N667">
        <v>1.4238728955388069</v>
      </c>
      <c r="O667">
        <v>17.177179595455531</v>
      </c>
      <c r="P667">
        <v>1.998678110539913</v>
      </c>
      <c r="Q667">
        <v>18.099952660501</v>
      </c>
      <c r="R667">
        <v>5</v>
      </c>
      <c r="S667" t="s">
        <v>437</v>
      </c>
      <c r="T667">
        <v>2015</v>
      </c>
      <c r="U667" s="1">
        <v>45901.600802198707</v>
      </c>
      <c r="V667" t="s">
        <v>32</v>
      </c>
      <c r="W667" t="s">
        <v>69</v>
      </c>
      <c r="X667">
        <v>0.69860130024924316</v>
      </c>
      <c r="Y667">
        <v>0.73099951218933334</v>
      </c>
      <c r="Z667">
        <v>-5.1771795954555273</v>
      </c>
      <c r="AA667">
        <v>2.5322391559202821</v>
      </c>
      <c r="AB667">
        <v>0.60412120499843591</v>
      </c>
    </row>
    <row r="668" spans="1:28" x14ac:dyDescent="0.25">
      <c r="A668">
        <v>3</v>
      </c>
      <c r="B668">
        <v>36</v>
      </c>
      <c r="C668">
        <v>11</v>
      </c>
      <c r="D668">
        <v>1147</v>
      </c>
      <c r="E668">
        <v>49</v>
      </c>
      <c r="F668">
        <v>11</v>
      </c>
      <c r="G668">
        <v>12.46031106356531</v>
      </c>
      <c r="H668" t="s">
        <v>460</v>
      </c>
      <c r="I668" t="s">
        <v>35</v>
      </c>
      <c r="J668">
        <v>1</v>
      </c>
      <c r="K668">
        <v>77</v>
      </c>
      <c r="L668" t="s">
        <v>451</v>
      </c>
      <c r="M668">
        <v>2912</v>
      </c>
      <c r="N668">
        <v>4.8782076463103294</v>
      </c>
      <c r="O668">
        <v>12.46031106356531</v>
      </c>
      <c r="P668">
        <v>5.0580006605014196</v>
      </c>
      <c r="Q668">
        <v>15.72751249466091</v>
      </c>
      <c r="R668">
        <v>2</v>
      </c>
      <c r="S668" t="s">
        <v>437</v>
      </c>
      <c r="T668">
        <v>2015</v>
      </c>
      <c r="U668" s="1">
        <v>45901.600802198707</v>
      </c>
      <c r="V668" t="s">
        <v>32</v>
      </c>
      <c r="W668" t="s">
        <v>69</v>
      </c>
      <c r="X668">
        <v>0.88280300097520437</v>
      </c>
      <c r="Y668">
        <v>0.88280300097520437</v>
      </c>
      <c r="Z668">
        <v>-1.460311063565314</v>
      </c>
      <c r="AA668">
        <v>2.3798076923076921</v>
      </c>
      <c r="AB668">
        <v>0.38510576776129057</v>
      </c>
    </row>
    <row r="669" spans="1:28" x14ac:dyDescent="0.25">
      <c r="A669">
        <v>4</v>
      </c>
      <c r="B669">
        <v>27</v>
      </c>
      <c r="C669">
        <v>10</v>
      </c>
      <c r="D669">
        <v>1295</v>
      </c>
      <c r="E669">
        <v>28</v>
      </c>
      <c r="F669">
        <v>10</v>
      </c>
      <c r="G669">
        <v>8.5939587038010359</v>
      </c>
      <c r="H669" t="s">
        <v>218</v>
      </c>
      <c r="I669" t="s">
        <v>29</v>
      </c>
      <c r="J669">
        <v>0</v>
      </c>
      <c r="K669">
        <v>37</v>
      </c>
      <c r="L669" t="s">
        <v>441</v>
      </c>
      <c r="M669">
        <v>2063</v>
      </c>
      <c r="N669">
        <v>3.5477427244186401</v>
      </c>
      <c r="O669">
        <v>8.5939587038010359</v>
      </c>
      <c r="P669">
        <v>3.558140410110354</v>
      </c>
      <c r="Q669">
        <v>11.734704583883291</v>
      </c>
      <c r="R669">
        <v>5</v>
      </c>
      <c r="S669" t="s">
        <v>437</v>
      </c>
      <c r="T669">
        <v>2015</v>
      </c>
      <c r="U669" s="1">
        <v>45901.600802198707</v>
      </c>
      <c r="V669" t="s">
        <v>32</v>
      </c>
      <c r="W669" t="s">
        <v>69</v>
      </c>
      <c r="X669">
        <v>1.16360810479309</v>
      </c>
      <c r="Y669">
        <v>1.16360810479309</v>
      </c>
      <c r="Z669">
        <v>1.4060412961989639</v>
      </c>
      <c r="AA669">
        <v>1.61415414444983</v>
      </c>
      <c r="AB669">
        <v>0.37491821781003071</v>
      </c>
    </row>
    <row r="670" spans="1:28" x14ac:dyDescent="0.25">
      <c r="A670">
        <v>3</v>
      </c>
      <c r="B670">
        <v>30</v>
      </c>
      <c r="C670">
        <v>10</v>
      </c>
      <c r="D670">
        <v>1517</v>
      </c>
      <c r="E670">
        <v>38</v>
      </c>
      <c r="F670">
        <v>4</v>
      </c>
      <c r="G670">
        <v>5.7052296986803412</v>
      </c>
      <c r="H670" t="s">
        <v>464</v>
      </c>
      <c r="I670" t="s">
        <v>35</v>
      </c>
      <c r="J670">
        <v>0</v>
      </c>
      <c r="K670">
        <v>90</v>
      </c>
      <c r="L670" t="s">
        <v>459</v>
      </c>
      <c r="M670">
        <v>2219</v>
      </c>
      <c r="N670">
        <v>3.8530357643030571</v>
      </c>
      <c r="O670">
        <v>11.79562112223357</v>
      </c>
      <c r="P670">
        <v>2.980602422729135</v>
      </c>
      <c r="Q670">
        <v>9.8295429348945618</v>
      </c>
      <c r="R670">
        <v>4</v>
      </c>
      <c r="S670" t="s">
        <v>437</v>
      </c>
      <c r="T670">
        <v>2015</v>
      </c>
      <c r="U670" s="1">
        <v>45901.600802198707</v>
      </c>
      <c r="V670" t="s">
        <v>32</v>
      </c>
      <c r="W670" t="s">
        <v>69</v>
      </c>
      <c r="X670">
        <v>0.84777222804749108</v>
      </c>
      <c r="Y670">
        <v>0.70111112282214116</v>
      </c>
      <c r="Z670">
        <v>-1.7956211222335701</v>
      </c>
      <c r="AA670">
        <v>3.650292924740874</v>
      </c>
      <c r="AB670">
        <v>0.47841635917125791</v>
      </c>
    </row>
    <row r="671" spans="1:28" x14ac:dyDescent="0.25">
      <c r="A671">
        <v>2</v>
      </c>
      <c r="B671">
        <v>33</v>
      </c>
      <c r="C671">
        <v>10</v>
      </c>
      <c r="D671">
        <v>1552</v>
      </c>
      <c r="E671">
        <v>20</v>
      </c>
      <c r="F671">
        <v>10</v>
      </c>
      <c r="G671">
        <v>8.9641934800893068</v>
      </c>
      <c r="H671" t="s">
        <v>474</v>
      </c>
      <c r="I671" t="s">
        <v>29</v>
      </c>
      <c r="J671">
        <v>0</v>
      </c>
      <c r="K671">
        <v>49</v>
      </c>
      <c r="L671" t="s">
        <v>457</v>
      </c>
      <c r="M671">
        <v>2362</v>
      </c>
      <c r="N671">
        <v>1.819169797003269</v>
      </c>
      <c r="O671">
        <v>8.9641934800893068</v>
      </c>
      <c r="P671">
        <v>2.5539697073400021</v>
      </c>
      <c r="Q671">
        <v>11.42705050855875</v>
      </c>
      <c r="R671">
        <v>4</v>
      </c>
      <c r="S671" t="s">
        <v>437</v>
      </c>
      <c r="T671">
        <v>2015</v>
      </c>
      <c r="U671" s="1">
        <v>45901.600802198707</v>
      </c>
      <c r="V671" t="s">
        <v>32</v>
      </c>
      <c r="W671" t="s">
        <v>69</v>
      </c>
      <c r="X671">
        <v>1.115549326574818</v>
      </c>
      <c r="Y671">
        <v>1.115549326574818</v>
      </c>
      <c r="Z671">
        <v>1.0358065199106929</v>
      </c>
      <c r="AA671">
        <v>1.867061812023709</v>
      </c>
      <c r="AB671">
        <v>0.34156537392380931</v>
      </c>
    </row>
    <row r="672" spans="1:28" x14ac:dyDescent="0.25">
      <c r="A672">
        <v>9</v>
      </c>
      <c r="B672">
        <v>37</v>
      </c>
      <c r="C672">
        <v>29</v>
      </c>
      <c r="D672">
        <v>1253</v>
      </c>
      <c r="E672">
        <v>44</v>
      </c>
      <c r="F672">
        <v>28</v>
      </c>
      <c r="G672">
        <v>30.115546032786369</v>
      </c>
      <c r="H672" t="s">
        <v>475</v>
      </c>
      <c r="I672" t="s">
        <v>29</v>
      </c>
      <c r="J672">
        <v>0</v>
      </c>
      <c r="K672">
        <v>178</v>
      </c>
      <c r="L672" t="s">
        <v>467</v>
      </c>
      <c r="M672">
        <v>3051</v>
      </c>
      <c r="N672">
        <v>5.4615625068545341</v>
      </c>
      <c r="O672">
        <v>32.399444118142128</v>
      </c>
      <c r="P672">
        <v>4.3859376348555088</v>
      </c>
      <c r="Q672">
        <v>34.761227589100599</v>
      </c>
      <c r="R672">
        <v>4</v>
      </c>
      <c r="S672" t="s">
        <v>437</v>
      </c>
      <c r="T672">
        <v>2016</v>
      </c>
      <c r="U672" s="1">
        <v>45901.600802198707</v>
      </c>
      <c r="V672" t="s">
        <v>32</v>
      </c>
      <c r="W672" t="s">
        <v>84</v>
      </c>
      <c r="X672">
        <v>0.8950770850960803</v>
      </c>
      <c r="Y672">
        <v>0.92975236011051554</v>
      </c>
      <c r="Z672">
        <v>-3.399444118142128</v>
      </c>
      <c r="AA672">
        <v>5.2507374631268444</v>
      </c>
      <c r="AB672">
        <v>0.95573581469445801</v>
      </c>
    </row>
    <row r="673" spans="1:28" x14ac:dyDescent="0.25">
      <c r="A673">
        <v>9</v>
      </c>
      <c r="B673">
        <v>35</v>
      </c>
      <c r="C673">
        <v>28</v>
      </c>
      <c r="D673">
        <v>1384</v>
      </c>
      <c r="E673">
        <v>57</v>
      </c>
      <c r="F673">
        <v>26</v>
      </c>
      <c r="G673">
        <v>22.860522627830509</v>
      </c>
      <c r="H673" t="s">
        <v>476</v>
      </c>
      <c r="I673" t="s">
        <v>29</v>
      </c>
      <c r="J673">
        <v>0</v>
      </c>
      <c r="K673">
        <v>148</v>
      </c>
      <c r="L673" t="s">
        <v>443</v>
      </c>
      <c r="M673">
        <v>2573</v>
      </c>
      <c r="N673">
        <v>8.1047355374321342</v>
      </c>
      <c r="O673">
        <v>25.144421741366379</v>
      </c>
      <c r="P673">
        <v>11.753045322373509</v>
      </c>
      <c r="Q673">
        <v>37.670811966061592</v>
      </c>
      <c r="R673">
        <v>6</v>
      </c>
      <c r="S673" t="s">
        <v>437</v>
      </c>
      <c r="T673">
        <v>2016</v>
      </c>
      <c r="U673" s="1">
        <v>45901.600802198707</v>
      </c>
      <c r="V673" t="s">
        <v>32</v>
      </c>
      <c r="W673" t="s">
        <v>84</v>
      </c>
      <c r="X673">
        <v>1.1135670681953189</v>
      </c>
      <c r="Y673">
        <v>1.137331828466051</v>
      </c>
      <c r="Z673">
        <v>2.8555782586336171</v>
      </c>
      <c r="AA673">
        <v>5.1768363777691411</v>
      </c>
      <c r="AB673">
        <v>0.87951727816672154</v>
      </c>
    </row>
    <row r="674" spans="1:28" x14ac:dyDescent="0.25">
      <c r="A674">
        <v>7</v>
      </c>
      <c r="B674">
        <v>35</v>
      </c>
      <c r="C674">
        <v>26</v>
      </c>
      <c r="D674">
        <v>1186</v>
      </c>
      <c r="E674">
        <v>57</v>
      </c>
      <c r="F674">
        <v>24</v>
      </c>
      <c r="G674">
        <v>16.908340804278851</v>
      </c>
      <c r="H674" t="s">
        <v>470</v>
      </c>
      <c r="I674" t="s">
        <v>29</v>
      </c>
      <c r="J674">
        <v>0</v>
      </c>
      <c r="K674">
        <v>130</v>
      </c>
      <c r="L674" t="s">
        <v>455</v>
      </c>
      <c r="M674">
        <v>3070</v>
      </c>
      <c r="N674">
        <v>4.6304801749065518</v>
      </c>
      <c r="O674">
        <v>20.714836724102501</v>
      </c>
      <c r="P674">
        <v>3.9725863188505168</v>
      </c>
      <c r="Q674">
        <v>19.51798184774816</v>
      </c>
      <c r="R674">
        <v>5</v>
      </c>
      <c r="S674" t="s">
        <v>437</v>
      </c>
      <c r="T674">
        <v>2016</v>
      </c>
      <c r="U674" s="1">
        <v>45901.600802198707</v>
      </c>
      <c r="V674" t="s">
        <v>32</v>
      </c>
      <c r="W674" t="s">
        <v>84</v>
      </c>
      <c r="X674">
        <v>1.255139026500171</v>
      </c>
      <c r="Y674">
        <v>1.4194178055558551</v>
      </c>
      <c r="Z674">
        <v>5.2851632758975029</v>
      </c>
      <c r="AA674">
        <v>3.8110749185667752</v>
      </c>
      <c r="AB674">
        <v>0.60727534370333058</v>
      </c>
    </row>
    <row r="675" spans="1:28" x14ac:dyDescent="0.25">
      <c r="A675">
        <v>3</v>
      </c>
      <c r="B675">
        <v>38</v>
      </c>
      <c r="C675">
        <v>24</v>
      </c>
      <c r="D675">
        <v>1293</v>
      </c>
      <c r="E675">
        <v>39</v>
      </c>
      <c r="F675">
        <v>24</v>
      </c>
      <c r="G675">
        <v>19.412508625537161</v>
      </c>
      <c r="H675" t="s">
        <v>442</v>
      </c>
      <c r="I675" t="s">
        <v>29</v>
      </c>
      <c r="J675">
        <v>0</v>
      </c>
      <c r="K675">
        <v>134</v>
      </c>
      <c r="L675" t="s">
        <v>441</v>
      </c>
      <c r="M675">
        <v>2966</v>
      </c>
      <c r="N675">
        <v>6.2016559280455112</v>
      </c>
      <c r="O675">
        <v>19.412508625537161</v>
      </c>
      <c r="P675">
        <v>6.4366745948791504</v>
      </c>
      <c r="Q675">
        <v>26.90888499841094</v>
      </c>
      <c r="R675">
        <v>1</v>
      </c>
      <c r="S675" t="s">
        <v>437</v>
      </c>
      <c r="T675">
        <v>2016</v>
      </c>
      <c r="U675" s="1">
        <v>45901.600802198707</v>
      </c>
      <c r="V675" t="s">
        <v>32</v>
      </c>
      <c r="W675" t="s">
        <v>84</v>
      </c>
      <c r="X675">
        <v>1.2363162568503889</v>
      </c>
      <c r="Y675">
        <v>1.2363162568503889</v>
      </c>
      <c r="Z675">
        <v>4.5874913744628394</v>
      </c>
      <c r="AA675">
        <v>4.0660822656776796</v>
      </c>
      <c r="AB675">
        <v>0.58905117204934065</v>
      </c>
    </row>
    <row r="676" spans="1:28" x14ac:dyDescent="0.25">
      <c r="A676">
        <v>8</v>
      </c>
      <c r="B676">
        <v>34</v>
      </c>
      <c r="C676">
        <v>24</v>
      </c>
      <c r="D676">
        <v>1513</v>
      </c>
      <c r="E676">
        <v>43</v>
      </c>
      <c r="F676">
        <v>21</v>
      </c>
      <c r="G676">
        <v>17.635182356461879</v>
      </c>
      <c r="H676" t="s">
        <v>435</v>
      </c>
      <c r="I676" t="s">
        <v>32</v>
      </c>
      <c r="J676">
        <v>0</v>
      </c>
      <c r="K676">
        <v>109</v>
      </c>
      <c r="L676" t="s">
        <v>436</v>
      </c>
      <c r="M676">
        <v>3030</v>
      </c>
      <c r="N676">
        <v>4.8976491428911686</v>
      </c>
      <c r="O676">
        <v>20.680375462397929</v>
      </c>
      <c r="P676">
        <v>2.2115487111732359</v>
      </c>
      <c r="Q676">
        <v>21.163840677589171</v>
      </c>
      <c r="R676">
        <v>1</v>
      </c>
      <c r="S676" t="s">
        <v>437</v>
      </c>
      <c r="T676">
        <v>2016</v>
      </c>
      <c r="U676" s="1">
        <v>45901.600802198707</v>
      </c>
      <c r="V676" t="s">
        <v>32</v>
      </c>
      <c r="W676" t="s">
        <v>84</v>
      </c>
      <c r="X676">
        <v>1.160520515869645</v>
      </c>
      <c r="Y676">
        <v>1.190801409110759</v>
      </c>
      <c r="Z676">
        <v>3.319624537602067</v>
      </c>
      <c r="AA676">
        <v>3.2376237623762369</v>
      </c>
      <c r="AB676">
        <v>0.61426857809102775</v>
      </c>
    </row>
    <row r="677" spans="1:28" x14ac:dyDescent="0.25">
      <c r="A677">
        <v>3</v>
      </c>
      <c r="B677">
        <v>36</v>
      </c>
      <c r="C677">
        <v>23</v>
      </c>
      <c r="D677">
        <v>1209</v>
      </c>
      <c r="E677">
        <v>41</v>
      </c>
      <c r="F677">
        <v>17</v>
      </c>
      <c r="G677">
        <v>16.619200386106971</v>
      </c>
      <c r="H677" t="s">
        <v>477</v>
      </c>
      <c r="I677" t="s">
        <v>29</v>
      </c>
      <c r="J677">
        <v>0</v>
      </c>
      <c r="K677">
        <v>136</v>
      </c>
      <c r="L677" t="s">
        <v>459</v>
      </c>
      <c r="M677">
        <v>3128</v>
      </c>
      <c r="N677">
        <v>3.7920788750052452</v>
      </c>
      <c r="O677">
        <v>21.1869550049305</v>
      </c>
      <c r="P677">
        <v>4.3452981868758798</v>
      </c>
      <c r="Q677">
        <v>21.832038272172209</v>
      </c>
      <c r="R677">
        <v>5</v>
      </c>
      <c r="S677" t="s">
        <v>437</v>
      </c>
      <c r="T677">
        <v>2016</v>
      </c>
      <c r="U677" s="1">
        <v>45901.600802198707</v>
      </c>
      <c r="V677" t="s">
        <v>32</v>
      </c>
      <c r="W677" t="s">
        <v>84</v>
      </c>
      <c r="X677">
        <v>1.0855736463615271</v>
      </c>
      <c r="Y677">
        <v>1.0229132331908919</v>
      </c>
      <c r="Z677">
        <v>1.813044995069504</v>
      </c>
      <c r="AA677">
        <v>3.9130434782608701</v>
      </c>
      <c r="AB677">
        <v>0.60959908901654247</v>
      </c>
    </row>
    <row r="678" spans="1:28" x14ac:dyDescent="0.25">
      <c r="A678">
        <v>9</v>
      </c>
      <c r="B678">
        <v>37</v>
      </c>
      <c r="C678">
        <v>18</v>
      </c>
      <c r="D678">
        <v>1393</v>
      </c>
      <c r="E678">
        <v>66</v>
      </c>
      <c r="F678">
        <v>16</v>
      </c>
      <c r="G678">
        <v>13.27683540992439</v>
      </c>
      <c r="H678" t="s">
        <v>471</v>
      </c>
      <c r="I678" t="s">
        <v>29</v>
      </c>
      <c r="J678">
        <v>0</v>
      </c>
      <c r="K678">
        <v>147</v>
      </c>
      <c r="L678" t="s">
        <v>443</v>
      </c>
      <c r="M678">
        <v>2946</v>
      </c>
      <c r="N678">
        <v>7.8792796060442916</v>
      </c>
      <c r="O678">
        <v>14.79943042807281</v>
      </c>
      <c r="P678">
        <v>18.729357041418549</v>
      </c>
      <c r="Q678">
        <v>33.147989943623543</v>
      </c>
      <c r="R678">
        <v>2</v>
      </c>
      <c r="S678" t="s">
        <v>437</v>
      </c>
      <c r="T678">
        <v>2016</v>
      </c>
      <c r="U678" s="1">
        <v>45901.600802198707</v>
      </c>
      <c r="V678" t="s">
        <v>32</v>
      </c>
      <c r="W678" t="s">
        <v>84</v>
      </c>
      <c r="X678">
        <v>1.2162630235996159</v>
      </c>
      <c r="Y678">
        <v>1.2051064508971809</v>
      </c>
      <c r="Z678">
        <v>3.2005695719271898</v>
      </c>
      <c r="AA678">
        <v>4.4908350305498983</v>
      </c>
      <c r="AB678">
        <v>0.45212109250731602</v>
      </c>
    </row>
    <row r="679" spans="1:28" x14ac:dyDescent="0.25">
      <c r="A679">
        <v>3</v>
      </c>
      <c r="B679">
        <v>31</v>
      </c>
      <c r="C679">
        <v>16</v>
      </c>
      <c r="D679">
        <v>1210</v>
      </c>
      <c r="E679">
        <v>43</v>
      </c>
      <c r="F679">
        <v>14</v>
      </c>
      <c r="G679">
        <v>7.2138475123792887</v>
      </c>
      <c r="H679" t="s">
        <v>478</v>
      </c>
      <c r="I679" t="s">
        <v>35</v>
      </c>
      <c r="J679">
        <v>1</v>
      </c>
      <c r="K679">
        <v>70</v>
      </c>
      <c r="L679" t="s">
        <v>459</v>
      </c>
      <c r="M679">
        <v>1938</v>
      </c>
      <c r="N679">
        <v>4.3074368387460709</v>
      </c>
      <c r="O679">
        <v>8.7363246027380228</v>
      </c>
      <c r="P679">
        <v>3.790834436193109</v>
      </c>
      <c r="Q679">
        <v>13.986205749213701</v>
      </c>
      <c r="R679">
        <v>4</v>
      </c>
      <c r="S679" t="s">
        <v>437</v>
      </c>
      <c r="T679">
        <v>2016</v>
      </c>
      <c r="U679" s="1">
        <v>45901.600802198707</v>
      </c>
      <c r="V679" t="s">
        <v>32</v>
      </c>
      <c r="W679" t="s">
        <v>84</v>
      </c>
      <c r="X679">
        <v>1.831433781087471</v>
      </c>
      <c r="Y679">
        <v>1.940711939914916</v>
      </c>
      <c r="Z679">
        <v>7.2636753972619772</v>
      </c>
      <c r="AA679">
        <v>3.2507739938080489</v>
      </c>
      <c r="AB679">
        <v>0.40571166885780291</v>
      </c>
    </row>
    <row r="680" spans="1:28" x14ac:dyDescent="0.25">
      <c r="A680">
        <v>1</v>
      </c>
      <c r="B680">
        <v>36</v>
      </c>
      <c r="C680">
        <v>16</v>
      </c>
      <c r="D680">
        <v>1405</v>
      </c>
      <c r="E680">
        <v>24</v>
      </c>
      <c r="F680">
        <v>15</v>
      </c>
      <c r="G680">
        <v>7.1596738174557686</v>
      </c>
      <c r="H680" t="s">
        <v>479</v>
      </c>
      <c r="I680" t="s">
        <v>29</v>
      </c>
      <c r="J680">
        <v>0</v>
      </c>
      <c r="K680">
        <v>81</v>
      </c>
      <c r="L680" t="s">
        <v>480</v>
      </c>
      <c r="M680">
        <v>2605</v>
      </c>
      <c r="N680">
        <v>2.325726350769401</v>
      </c>
      <c r="O680">
        <v>8.6822319179773331</v>
      </c>
      <c r="P680">
        <v>3.7500448059290652</v>
      </c>
      <c r="Q680">
        <v>11.108960248529909</v>
      </c>
      <c r="R680">
        <v>4</v>
      </c>
      <c r="S680" t="s">
        <v>437</v>
      </c>
      <c r="T680">
        <v>2016</v>
      </c>
      <c r="U680" s="1">
        <v>45901.600802198707</v>
      </c>
      <c r="V680" t="s">
        <v>32</v>
      </c>
      <c r="W680" t="s">
        <v>84</v>
      </c>
      <c r="X680">
        <v>1.8428441155632549</v>
      </c>
      <c r="Y680">
        <v>2.095067510398168</v>
      </c>
      <c r="Z680">
        <v>7.3177680820226669</v>
      </c>
      <c r="AA680">
        <v>2.7984644913627639</v>
      </c>
      <c r="AB680">
        <v>0.29996194726217268</v>
      </c>
    </row>
    <row r="681" spans="1:28" x14ac:dyDescent="0.25">
      <c r="A681">
        <v>10</v>
      </c>
      <c r="B681">
        <v>37</v>
      </c>
      <c r="C681">
        <v>16</v>
      </c>
      <c r="D681">
        <v>1491</v>
      </c>
      <c r="E681">
        <v>89</v>
      </c>
      <c r="F681">
        <v>14</v>
      </c>
      <c r="G681">
        <v>10.11189294885844</v>
      </c>
      <c r="H681" t="s">
        <v>481</v>
      </c>
      <c r="I681" t="s">
        <v>49</v>
      </c>
      <c r="J681">
        <v>0</v>
      </c>
      <c r="K681">
        <v>117</v>
      </c>
      <c r="L681" t="s">
        <v>482</v>
      </c>
      <c r="M681">
        <v>3155</v>
      </c>
      <c r="N681">
        <v>10.414889417588711</v>
      </c>
      <c r="O681">
        <v>11.63449206482619</v>
      </c>
      <c r="P681">
        <v>8.976827010512352</v>
      </c>
      <c r="Q681">
        <v>22.892918987199661</v>
      </c>
      <c r="R681">
        <v>6</v>
      </c>
      <c r="S681" t="s">
        <v>437</v>
      </c>
      <c r="T681">
        <v>2016</v>
      </c>
      <c r="U681" s="1">
        <v>45901.600802198707</v>
      </c>
      <c r="V681" t="s">
        <v>32</v>
      </c>
      <c r="W681" t="s">
        <v>84</v>
      </c>
      <c r="X681">
        <v>1.375221188071611</v>
      </c>
      <c r="Y681">
        <v>1.384508328045591</v>
      </c>
      <c r="Z681">
        <v>4.3655079351738104</v>
      </c>
      <c r="AA681">
        <v>3.3375594294770199</v>
      </c>
      <c r="AB681">
        <v>0.33188725383022422</v>
      </c>
    </row>
    <row r="682" spans="1:28" x14ac:dyDescent="0.25">
      <c r="A682">
        <v>11</v>
      </c>
      <c r="B682">
        <v>31</v>
      </c>
      <c r="C682">
        <v>15</v>
      </c>
      <c r="D682">
        <v>1250</v>
      </c>
      <c r="E682">
        <v>71</v>
      </c>
      <c r="F682">
        <v>15</v>
      </c>
      <c r="G682">
        <v>13.411624390631911</v>
      </c>
      <c r="H682" t="s">
        <v>96</v>
      </c>
      <c r="I682" t="s">
        <v>35</v>
      </c>
      <c r="J682">
        <v>0</v>
      </c>
      <c r="K682">
        <v>80</v>
      </c>
      <c r="L682" t="s">
        <v>467</v>
      </c>
      <c r="M682">
        <v>2498</v>
      </c>
      <c r="N682">
        <v>9.6336244940757751</v>
      </c>
      <c r="O682">
        <v>13.411624390631911</v>
      </c>
      <c r="P682">
        <v>9.2998415967449564</v>
      </c>
      <c r="Q682">
        <v>29.467472314834591</v>
      </c>
      <c r="R682">
        <v>2</v>
      </c>
      <c r="S682" t="s">
        <v>437</v>
      </c>
      <c r="T682">
        <v>2016</v>
      </c>
      <c r="U682" s="1">
        <v>45901.600802198707</v>
      </c>
      <c r="V682" t="s">
        <v>32</v>
      </c>
      <c r="W682" t="s">
        <v>84</v>
      </c>
      <c r="X682">
        <v>1.1184327537891361</v>
      </c>
      <c r="Y682">
        <v>1.1184327537891361</v>
      </c>
      <c r="Z682">
        <v>1.5883756093680861</v>
      </c>
      <c r="AA682">
        <v>2.882305844675741</v>
      </c>
      <c r="AB682">
        <v>0.48320504209642601</v>
      </c>
    </row>
    <row r="683" spans="1:28" x14ac:dyDescent="0.25">
      <c r="A683">
        <v>2</v>
      </c>
      <c r="B683">
        <v>32</v>
      </c>
      <c r="C683">
        <v>15</v>
      </c>
      <c r="D683">
        <v>1425</v>
      </c>
      <c r="E683">
        <v>37</v>
      </c>
      <c r="F683">
        <v>14</v>
      </c>
      <c r="G683">
        <v>14.20092103257775</v>
      </c>
      <c r="H683" t="s">
        <v>472</v>
      </c>
      <c r="I683" t="s">
        <v>29</v>
      </c>
      <c r="J683">
        <v>1</v>
      </c>
      <c r="K683">
        <v>91</v>
      </c>
      <c r="L683" t="s">
        <v>473</v>
      </c>
      <c r="M683">
        <v>2481</v>
      </c>
      <c r="N683">
        <v>3.3347185794264078</v>
      </c>
      <c r="O683">
        <v>15.723518047481781</v>
      </c>
      <c r="P683">
        <v>2.437295887619257</v>
      </c>
      <c r="Q683">
        <v>15.919188110157849</v>
      </c>
      <c r="R683">
        <v>5</v>
      </c>
      <c r="S683" t="s">
        <v>437</v>
      </c>
      <c r="T683">
        <v>2016</v>
      </c>
      <c r="U683" s="1">
        <v>45901.600802198707</v>
      </c>
      <c r="V683" t="s">
        <v>32</v>
      </c>
      <c r="W683" t="s">
        <v>84</v>
      </c>
      <c r="X683">
        <v>0.95398497681645411</v>
      </c>
      <c r="Y683">
        <v>0.98585154919763118</v>
      </c>
      <c r="Z683">
        <v>-0.72351804748177528</v>
      </c>
      <c r="AA683">
        <v>3.301088270858525</v>
      </c>
      <c r="AB683">
        <v>0.57038154948543318</v>
      </c>
    </row>
    <row r="684" spans="1:28" x14ac:dyDescent="0.25">
      <c r="A684">
        <v>12</v>
      </c>
      <c r="B684">
        <v>37</v>
      </c>
      <c r="C684">
        <v>14</v>
      </c>
      <c r="D684">
        <v>1382</v>
      </c>
      <c r="E684">
        <v>76</v>
      </c>
      <c r="F684">
        <v>14</v>
      </c>
      <c r="G684">
        <v>12.50654892623424</v>
      </c>
      <c r="H684" t="s">
        <v>483</v>
      </c>
      <c r="I684" t="s">
        <v>32</v>
      </c>
      <c r="J684">
        <v>1</v>
      </c>
      <c r="K684">
        <v>86</v>
      </c>
      <c r="L684" t="s">
        <v>443</v>
      </c>
      <c r="M684">
        <v>3151</v>
      </c>
      <c r="N684">
        <v>9.2061897395178676</v>
      </c>
      <c r="O684">
        <v>12.50654892623424</v>
      </c>
      <c r="P684">
        <v>10.370100121945139</v>
      </c>
      <c r="Q684">
        <v>29.337498541921381</v>
      </c>
      <c r="R684">
        <v>3</v>
      </c>
      <c r="S684" t="s">
        <v>437</v>
      </c>
      <c r="T684">
        <v>2016</v>
      </c>
      <c r="U684" s="1">
        <v>45901.600802198707</v>
      </c>
      <c r="V684" t="s">
        <v>32</v>
      </c>
      <c r="W684" t="s">
        <v>84</v>
      </c>
      <c r="X684">
        <v>1.1194135234727329</v>
      </c>
      <c r="Y684">
        <v>1.1194135234727329</v>
      </c>
      <c r="Z684">
        <v>1.493451073765756</v>
      </c>
      <c r="AA684">
        <v>2.45636305934624</v>
      </c>
      <c r="AB684">
        <v>0.35721656723614148</v>
      </c>
    </row>
    <row r="685" spans="1:28" x14ac:dyDescent="0.25">
      <c r="A685">
        <v>3</v>
      </c>
      <c r="B685">
        <v>32</v>
      </c>
      <c r="C685">
        <v>13</v>
      </c>
      <c r="D685">
        <v>1125</v>
      </c>
      <c r="E685">
        <v>19</v>
      </c>
      <c r="F685">
        <v>9</v>
      </c>
      <c r="G685">
        <v>10.28316840901971</v>
      </c>
      <c r="H685" t="s">
        <v>202</v>
      </c>
      <c r="I685" t="s">
        <v>29</v>
      </c>
      <c r="J685">
        <v>0</v>
      </c>
      <c r="K685">
        <v>56</v>
      </c>
      <c r="L685" t="s">
        <v>445</v>
      </c>
      <c r="M685">
        <v>2152</v>
      </c>
      <c r="N685">
        <v>2.608146108686924</v>
      </c>
      <c r="O685">
        <v>14.850958213210109</v>
      </c>
      <c r="P685">
        <v>2.0166895799338822</v>
      </c>
      <c r="Q685">
        <v>12.942244132980701</v>
      </c>
      <c r="R685">
        <v>3</v>
      </c>
      <c r="S685" t="s">
        <v>437</v>
      </c>
      <c r="T685">
        <v>2016</v>
      </c>
      <c r="U685" s="1">
        <v>45901.600802198707</v>
      </c>
      <c r="V685" t="s">
        <v>32</v>
      </c>
      <c r="W685" t="s">
        <v>84</v>
      </c>
      <c r="X685">
        <v>0.87536439153376266</v>
      </c>
      <c r="Y685">
        <v>0.87521662993536131</v>
      </c>
      <c r="Z685">
        <v>-1.8509582132101059</v>
      </c>
      <c r="AA685">
        <v>2.3420074349442381</v>
      </c>
      <c r="AB685">
        <v>0.62109025984614752</v>
      </c>
    </row>
    <row r="686" spans="1:28" x14ac:dyDescent="0.25">
      <c r="A686">
        <v>3</v>
      </c>
      <c r="B686">
        <v>36</v>
      </c>
      <c r="C686">
        <v>13</v>
      </c>
      <c r="D686">
        <v>1360</v>
      </c>
      <c r="E686">
        <v>36</v>
      </c>
      <c r="F686">
        <v>11</v>
      </c>
      <c r="G686">
        <v>9.9193820431828499</v>
      </c>
      <c r="H686" t="s">
        <v>484</v>
      </c>
      <c r="I686" t="s">
        <v>29</v>
      </c>
      <c r="J686">
        <v>0</v>
      </c>
      <c r="K686">
        <v>99</v>
      </c>
      <c r="L686" t="s">
        <v>485</v>
      </c>
      <c r="M686">
        <v>3147</v>
      </c>
      <c r="N686">
        <v>3.4043245827779169</v>
      </c>
      <c r="O686">
        <v>11.44197911769152</v>
      </c>
      <c r="P686">
        <v>2.1670915875583892</v>
      </c>
      <c r="Q686">
        <v>12.794176656752819</v>
      </c>
      <c r="R686">
        <v>7</v>
      </c>
      <c r="S686" t="s">
        <v>437</v>
      </c>
      <c r="T686">
        <v>2016</v>
      </c>
      <c r="U686" s="1">
        <v>45901.600802198707</v>
      </c>
      <c r="V686" t="s">
        <v>32</v>
      </c>
      <c r="W686" t="s">
        <v>84</v>
      </c>
      <c r="X686">
        <v>1.136167079688118</v>
      </c>
      <c r="Y686">
        <v>1.108940048090981</v>
      </c>
      <c r="Z686">
        <v>1.5580208823084829</v>
      </c>
      <c r="AA686">
        <v>2.8312678741658721</v>
      </c>
      <c r="AB686">
        <v>0.32722533225047229</v>
      </c>
    </row>
    <row r="687" spans="1:28" x14ac:dyDescent="0.25">
      <c r="A687">
        <v>1</v>
      </c>
      <c r="B687">
        <v>35</v>
      </c>
      <c r="C687">
        <v>12</v>
      </c>
      <c r="D687">
        <v>1102</v>
      </c>
      <c r="E687">
        <v>18</v>
      </c>
      <c r="F687">
        <v>11</v>
      </c>
      <c r="G687">
        <v>11.945752095431089</v>
      </c>
      <c r="H687" t="s">
        <v>486</v>
      </c>
      <c r="I687" t="s">
        <v>29</v>
      </c>
      <c r="J687">
        <v>0</v>
      </c>
      <c r="K687">
        <v>75</v>
      </c>
      <c r="L687" t="s">
        <v>453</v>
      </c>
      <c r="M687">
        <v>2621</v>
      </c>
      <c r="N687">
        <v>1.8094609249383209</v>
      </c>
      <c r="O687">
        <v>13.46834511682391</v>
      </c>
      <c r="P687">
        <v>1.6236618775874381</v>
      </c>
      <c r="Q687">
        <v>14.54932759329677</v>
      </c>
      <c r="R687">
        <v>3</v>
      </c>
      <c r="S687" t="s">
        <v>437</v>
      </c>
      <c r="T687">
        <v>2016</v>
      </c>
      <c r="U687" s="1">
        <v>45901.600802198707</v>
      </c>
      <c r="V687" t="s">
        <v>32</v>
      </c>
      <c r="W687" t="s">
        <v>84</v>
      </c>
      <c r="X687">
        <v>0.89097805973283706</v>
      </c>
      <c r="Y687">
        <v>0.9208294222183957</v>
      </c>
      <c r="Z687">
        <v>-1.4683451168239121</v>
      </c>
      <c r="AA687">
        <v>2.5753529187333082</v>
      </c>
      <c r="AB687">
        <v>0.46247655876159938</v>
      </c>
    </row>
    <row r="688" spans="1:28" x14ac:dyDescent="0.25">
      <c r="A688">
        <v>2</v>
      </c>
      <c r="B688">
        <v>33</v>
      </c>
      <c r="C688">
        <v>12</v>
      </c>
      <c r="D688">
        <v>1147</v>
      </c>
      <c r="E688">
        <v>30</v>
      </c>
      <c r="F688">
        <v>11</v>
      </c>
      <c r="G688">
        <v>8.0963060315698385</v>
      </c>
      <c r="H688" t="s">
        <v>460</v>
      </c>
      <c r="I688" t="s">
        <v>35</v>
      </c>
      <c r="J688">
        <v>0</v>
      </c>
      <c r="K688">
        <v>70</v>
      </c>
      <c r="L688" t="s">
        <v>451</v>
      </c>
      <c r="M688">
        <v>2516</v>
      </c>
      <c r="N688">
        <v>2.1949157975614071</v>
      </c>
      <c r="O688">
        <v>9.6189020331948996</v>
      </c>
      <c r="P688">
        <v>5.0389616331085563</v>
      </c>
      <c r="Q688">
        <v>13.32328179012984</v>
      </c>
      <c r="R688">
        <v>3</v>
      </c>
      <c r="S688" t="s">
        <v>437</v>
      </c>
      <c r="T688">
        <v>2016</v>
      </c>
      <c r="U688" s="1">
        <v>45901.600802198707</v>
      </c>
      <c r="V688" t="s">
        <v>32</v>
      </c>
      <c r="W688" t="s">
        <v>84</v>
      </c>
      <c r="X688">
        <v>1.247543634251385</v>
      </c>
      <c r="Y688">
        <v>1.358644294954739</v>
      </c>
      <c r="Z688">
        <v>2.3810979668051</v>
      </c>
      <c r="AA688">
        <v>2.5039745627980921</v>
      </c>
      <c r="AB688">
        <v>0.34407837161666971</v>
      </c>
    </row>
    <row r="689" spans="1:28" x14ac:dyDescent="0.25">
      <c r="A689">
        <v>8</v>
      </c>
      <c r="B689">
        <v>35</v>
      </c>
      <c r="C689">
        <v>12</v>
      </c>
      <c r="D689">
        <v>1185</v>
      </c>
      <c r="E689">
        <v>50</v>
      </c>
      <c r="F689">
        <v>10</v>
      </c>
      <c r="G689">
        <v>6.1717765294015408</v>
      </c>
      <c r="H689" t="s">
        <v>452</v>
      </c>
      <c r="I689" t="s">
        <v>35</v>
      </c>
      <c r="J689">
        <v>0</v>
      </c>
      <c r="K689">
        <v>65</v>
      </c>
      <c r="L689" t="s">
        <v>455</v>
      </c>
      <c r="M689">
        <v>2539</v>
      </c>
      <c r="N689">
        <v>4.829463480040431</v>
      </c>
      <c r="O689">
        <v>8.4556725434958935</v>
      </c>
      <c r="P689">
        <v>7.9891598923131824</v>
      </c>
      <c r="Q689">
        <v>15.91863659303635</v>
      </c>
      <c r="R689">
        <v>2</v>
      </c>
      <c r="S689" t="s">
        <v>437</v>
      </c>
      <c r="T689">
        <v>2016</v>
      </c>
      <c r="U689" s="1">
        <v>45901.600802198707</v>
      </c>
      <c r="V689" t="s">
        <v>32</v>
      </c>
      <c r="W689" t="s">
        <v>84</v>
      </c>
      <c r="X689">
        <v>1.4191656474718151</v>
      </c>
      <c r="Y689">
        <v>1.6202790156709821</v>
      </c>
      <c r="Z689">
        <v>3.544327456504107</v>
      </c>
      <c r="AA689">
        <v>2.304056715242222</v>
      </c>
      <c r="AB689">
        <v>0.29972844778047669</v>
      </c>
    </row>
    <row r="690" spans="1:28" x14ac:dyDescent="0.25">
      <c r="A690">
        <v>4</v>
      </c>
      <c r="B690">
        <v>37</v>
      </c>
      <c r="C690">
        <v>12</v>
      </c>
      <c r="D690">
        <v>1230</v>
      </c>
      <c r="E690">
        <v>28</v>
      </c>
      <c r="F690">
        <v>9</v>
      </c>
      <c r="G690">
        <v>10.787970431149009</v>
      </c>
      <c r="H690" t="s">
        <v>454</v>
      </c>
      <c r="I690" t="s">
        <v>29</v>
      </c>
      <c r="J690">
        <v>0</v>
      </c>
      <c r="K690">
        <v>112</v>
      </c>
      <c r="L690" t="s">
        <v>487</v>
      </c>
      <c r="M690">
        <v>2890</v>
      </c>
      <c r="N690">
        <v>3.4728614818304782</v>
      </c>
      <c r="O690">
        <v>13.833164613693951</v>
      </c>
      <c r="P690">
        <v>1.1710645034909251</v>
      </c>
      <c r="Q690">
        <v>12.91046051308513</v>
      </c>
      <c r="R690">
        <v>2</v>
      </c>
      <c r="S690" t="s">
        <v>437</v>
      </c>
      <c r="T690">
        <v>2016</v>
      </c>
      <c r="U690" s="1">
        <v>45901.600802198707</v>
      </c>
      <c r="V690" t="s">
        <v>32</v>
      </c>
      <c r="W690" t="s">
        <v>84</v>
      </c>
      <c r="X690">
        <v>0.86748045983062794</v>
      </c>
      <c r="Y690">
        <v>0.83426257584221308</v>
      </c>
      <c r="Z690">
        <v>-1.833164613693953</v>
      </c>
      <c r="AA690">
        <v>3.4878892733564011</v>
      </c>
      <c r="AB690">
        <v>0.43079059350603999</v>
      </c>
    </row>
    <row r="691" spans="1:28" x14ac:dyDescent="0.25">
      <c r="A691">
        <v>2</v>
      </c>
      <c r="B691">
        <v>29</v>
      </c>
      <c r="C691">
        <v>12</v>
      </c>
      <c r="D691">
        <v>1468</v>
      </c>
      <c r="E691">
        <v>30</v>
      </c>
      <c r="F691">
        <v>11</v>
      </c>
      <c r="G691">
        <v>6.9972501900047064</v>
      </c>
      <c r="H691" t="s">
        <v>488</v>
      </c>
      <c r="I691" t="s">
        <v>35</v>
      </c>
      <c r="J691">
        <v>0</v>
      </c>
      <c r="K691">
        <v>43</v>
      </c>
      <c r="L691" t="s">
        <v>449</v>
      </c>
      <c r="M691">
        <v>1963</v>
      </c>
      <c r="N691">
        <v>2.0214178841561079</v>
      </c>
      <c r="O691">
        <v>7.758550276979804</v>
      </c>
      <c r="P691">
        <v>2.4967909967526798</v>
      </c>
      <c r="Q691">
        <v>10.17432926408946</v>
      </c>
      <c r="R691">
        <v>1</v>
      </c>
      <c r="S691" t="s">
        <v>437</v>
      </c>
      <c r="T691">
        <v>2016</v>
      </c>
      <c r="U691" s="1">
        <v>45901.600802198707</v>
      </c>
      <c r="V691" t="s">
        <v>32</v>
      </c>
      <c r="W691" t="s">
        <v>84</v>
      </c>
      <c r="X691">
        <v>1.546680703430497</v>
      </c>
      <c r="Y691">
        <v>1.5720461183041681</v>
      </c>
      <c r="Z691">
        <v>4.241449723020196</v>
      </c>
      <c r="AA691">
        <v>1.9714722363728989</v>
      </c>
      <c r="AB691">
        <v>0.35571549919927792</v>
      </c>
    </row>
    <row r="692" spans="1:28" x14ac:dyDescent="0.25">
      <c r="A692">
        <v>8</v>
      </c>
      <c r="B692">
        <v>36</v>
      </c>
      <c r="C692">
        <v>11</v>
      </c>
      <c r="D692">
        <v>448</v>
      </c>
      <c r="E692">
        <v>62</v>
      </c>
      <c r="F692">
        <v>11</v>
      </c>
      <c r="G692">
        <v>10.203199268318709</v>
      </c>
      <c r="H692" t="s">
        <v>489</v>
      </c>
      <c r="I692" t="s">
        <v>35</v>
      </c>
      <c r="J692">
        <v>1</v>
      </c>
      <c r="K692">
        <v>104</v>
      </c>
      <c r="L692" t="s">
        <v>436</v>
      </c>
      <c r="M692">
        <v>2757</v>
      </c>
      <c r="N692">
        <v>9.2622016686946154</v>
      </c>
      <c r="O692">
        <v>10.203199268318709</v>
      </c>
      <c r="P692">
        <v>6.0295776585116982</v>
      </c>
      <c r="Q692">
        <v>18.987078636884689</v>
      </c>
      <c r="R692">
        <v>2</v>
      </c>
      <c r="S692" t="s">
        <v>437</v>
      </c>
      <c r="T692">
        <v>2016</v>
      </c>
      <c r="U692" s="1">
        <v>45901.600802198707</v>
      </c>
      <c r="V692" t="s">
        <v>32</v>
      </c>
      <c r="W692" t="s">
        <v>84</v>
      </c>
      <c r="X692">
        <v>1.078093224559024</v>
      </c>
      <c r="Y692">
        <v>1.078093224559024</v>
      </c>
      <c r="Z692">
        <v>0.79680073168128729</v>
      </c>
      <c r="AA692">
        <v>3.3949945593035911</v>
      </c>
      <c r="AB692">
        <v>0.33307505772531171</v>
      </c>
    </row>
    <row r="693" spans="1:28" x14ac:dyDescent="0.25">
      <c r="A693">
        <v>5</v>
      </c>
      <c r="B693">
        <v>31</v>
      </c>
      <c r="C693">
        <v>11</v>
      </c>
      <c r="D693">
        <v>1229</v>
      </c>
      <c r="E693">
        <v>44</v>
      </c>
      <c r="F693">
        <v>7</v>
      </c>
      <c r="G693">
        <v>6.1257925219833851</v>
      </c>
      <c r="H693" t="s">
        <v>490</v>
      </c>
      <c r="I693" t="s">
        <v>29</v>
      </c>
      <c r="J693">
        <v>1</v>
      </c>
      <c r="K693">
        <v>84</v>
      </c>
      <c r="L693" t="s">
        <v>487</v>
      </c>
      <c r="M693">
        <v>2270</v>
      </c>
      <c r="N693">
        <v>4.5490612685680389</v>
      </c>
      <c r="O693">
        <v>9.1709864921867847</v>
      </c>
      <c r="P693">
        <v>2.7135549727827311</v>
      </c>
      <c r="Q693">
        <v>11.636709444224829</v>
      </c>
      <c r="R693">
        <v>4</v>
      </c>
      <c r="S693" t="s">
        <v>437</v>
      </c>
      <c r="T693">
        <v>2016</v>
      </c>
      <c r="U693" s="1">
        <v>45901.600802198707</v>
      </c>
      <c r="V693" t="s">
        <v>32</v>
      </c>
      <c r="W693" t="s">
        <v>84</v>
      </c>
      <c r="X693">
        <v>1.1994347619387991</v>
      </c>
      <c r="Y693">
        <v>1.142709286166546</v>
      </c>
      <c r="Z693">
        <v>1.829013507813215</v>
      </c>
      <c r="AA693">
        <v>3.3303964757709248</v>
      </c>
      <c r="AB693">
        <v>0.36360739396335268</v>
      </c>
    </row>
    <row r="694" spans="1:28" x14ac:dyDescent="0.25">
      <c r="A694">
        <v>3</v>
      </c>
      <c r="B694">
        <v>32</v>
      </c>
      <c r="C694">
        <v>11</v>
      </c>
      <c r="D694">
        <v>1236</v>
      </c>
      <c r="E694">
        <v>20</v>
      </c>
      <c r="F694">
        <v>11</v>
      </c>
      <c r="G694">
        <v>5.6995251402258873</v>
      </c>
      <c r="H694" t="s">
        <v>396</v>
      </c>
      <c r="I694" t="s">
        <v>29</v>
      </c>
      <c r="J694">
        <v>0</v>
      </c>
      <c r="K694">
        <v>43</v>
      </c>
      <c r="L694" t="s">
        <v>487</v>
      </c>
      <c r="M694">
        <v>1489</v>
      </c>
      <c r="N694">
        <v>2.7119049802422519</v>
      </c>
      <c r="O694">
        <v>5.6995251402258873</v>
      </c>
      <c r="P694">
        <v>1.849090001545846</v>
      </c>
      <c r="Q694">
        <v>7.837001433596015</v>
      </c>
      <c r="R694">
        <v>2</v>
      </c>
      <c r="S694" t="s">
        <v>437</v>
      </c>
      <c r="T694">
        <v>2016</v>
      </c>
      <c r="U694" s="1">
        <v>45901.600802198707</v>
      </c>
      <c r="V694" t="s">
        <v>32</v>
      </c>
      <c r="W694" t="s">
        <v>84</v>
      </c>
      <c r="X694">
        <v>1.929985346036045</v>
      </c>
      <c r="Y694">
        <v>1.929985346036045</v>
      </c>
      <c r="Z694">
        <v>5.3004748597741127</v>
      </c>
      <c r="AA694">
        <v>2.599059771658832</v>
      </c>
      <c r="AB694">
        <v>0.34449782580277361</v>
      </c>
    </row>
    <row r="695" spans="1:28" x14ac:dyDescent="0.25">
      <c r="A695">
        <v>5</v>
      </c>
      <c r="B695">
        <v>37</v>
      </c>
      <c r="C695">
        <v>11</v>
      </c>
      <c r="D695">
        <v>1251</v>
      </c>
      <c r="E695">
        <v>69</v>
      </c>
      <c r="F695">
        <v>11</v>
      </c>
      <c r="G695">
        <v>6.0187605433166027</v>
      </c>
      <c r="H695" t="s">
        <v>491</v>
      </c>
      <c r="I695" t="s">
        <v>35</v>
      </c>
      <c r="J695">
        <v>0</v>
      </c>
      <c r="K695">
        <v>90</v>
      </c>
      <c r="L695" t="s">
        <v>467</v>
      </c>
      <c r="M695">
        <v>3052</v>
      </c>
      <c r="N695">
        <v>7.5315553722903132</v>
      </c>
      <c r="O695">
        <v>6.0187605433166027</v>
      </c>
      <c r="P695">
        <v>12.449990694411101</v>
      </c>
      <c r="Q695">
        <v>21.978866092860699</v>
      </c>
      <c r="R695">
        <v>2</v>
      </c>
      <c r="S695" t="s">
        <v>437</v>
      </c>
      <c r="T695">
        <v>2016</v>
      </c>
      <c r="U695" s="1">
        <v>45901.600802198707</v>
      </c>
      <c r="V695" t="s">
        <v>32</v>
      </c>
      <c r="W695" t="s">
        <v>84</v>
      </c>
      <c r="X695">
        <v>1.827618813015365</v>
      </c>
      <c r="Y695">
        <v>1.827618813015365</v>
      </c>
      <c r="Z695">
        <v>4.9812394566833973</v>
      </c>
      <c r="AA695">
        <v>2.6539973787680209</v>
      </c>
      <c r="AB695">
        <v>0.17748638561549621</v>
      </c>
    </row>
    <row r="696" spans="1:28" x14ac:dyDescent="0.25">
      <c r="A696">
        <v>3</v>
      </c>
      <c r="B696">
        <v>37</v>
      </c>
      <c r="C696">
        <v>11</v>
      </c>
      <c r="D696">
        <v>1272</v>
      </c>
      <c r="E696">
        <v>37</v>
      </c>
      <c r="F696">
        <v>10</v>
      </c>
      <c r="G696">
        <v>7.2839899025857449</v>
      </c>
      <c r="H696" t="s">
        <v>492</v>
      </c>
      <c r="I696" t="s">
        <v>29</v>
      </c>
      <c r="J696">
        <v>0</v>
      </c>
      <c r="K696">
        <v>76</v>
      </c>
      <c r="L696" t="s">
        <v>457</v>
      </c>
      <c r="M696">
        <v>3106</v>
      </c>
      <c r="N696">
        <v>2.0566700268536811</v>
      </c>
      <c r="O696">
        <v>8.0452889315783978</v>
      </c>
      <c r="P696">
        <v>2.4159801993519072</v>
      </c>
      <c r="Q696">
        <v>9.8291042763739824</v>
      </c>
      <c r="R696">
        <v>5</v>
      </c>
      <c r="S696" t="s">
        <v>437</v>
      </c>
      <c r="T696">
        <v>2016</v>
      </c>
      <c r="U696" s="1">
        <v>45901.600802198707</v>
      </c>
      <c r="V696" t="s">
        <v>32</v>
      </c>
      <c r="W696" t="s">
        <v>84</v>
      </c>
      <c r="X696">
        <v>1.367259783153856</v>
      </c>
      <c r="Y696">
        <v>1.372873951465817</v>
      </c>
      <c r="Z696">
        <v>2.9547110684216018</v>
      </c>
      <c r="AA696">
        <v>2.2021893110109469</v>
      </c>
      <c r="AB696">
        <v>0.23312170117258721</v>
      </c>
    </row>
    <row r="697" spans="1:28" x14ac:dyDescent="0.25">
      <c r="A697">
        <v>7</v>
      </c>
      <c r="B697">
        <v>31</v>
      </c>
      <c r="C697">
        <v>11</v>
      </c>
      <c r="D697">
        <v>1294</v>
      </c>
      <c r="E697">
        <v>58</v>
      </c>
      <c r="F697">
        <v>8</v>
      </c>
      <c r="G697">
        <v>6.9125450737774372</v>
      </c>
      <c r="H697" t="s">
        <v>456</v>
      </c>
      <c r="I697" t="s">
        <v>35</v>
      </c>
      <c r="J697">
        <v>0</v>
      </c>
      <c r="K697">
        <v>89</v>
      </c>
      <c r="L697" t="s">
        <v>441</v>
      </c>
      <c r="M697">
        <v>2162</v>
      </c>
      <c r="N697">
        <v>7.8097336757928133</v>
      </c>
      <c r="O697">
        <v>9.1964411027729511</v>
      </c>
      <c r="P697">
        <v>9.2984050326049328</v>
      </c>
      <c r="Q697">
        <v>18.341041006147861</v>
      </c>
      <c r="R697">
        <v>2</v>
      </c>
      <c r="S697" t="s">
        <v>437</v>
      </c>
      <c r="T697">
        <v>2016</v>
      </c>
      <c r="U697" s="1">
        <v>45901.600802198707</v>
      </c>
      <c r="V697" t="s">
        <v>32</v>
      </c>
      <c r="W697" t="s">
        <v>84</v>
      </c>
      <c r="X697">
        <v>1.1961148749904169</v>
      </c>
      <c r="Y697">
        <v>1.157316142551865</v>
      </c>
      <c r="Z697">
        <v>1.8035588972270491</v>
      </c>
      <c r="AA697">
        <v>3.704902867715079</v>
      </c>
      <c r="AB697">
        <v>0.38283057319591379</v>
      </c>
    </row>
    <row r="698" spans="1:28" x14ac:dyDescent="0.25">
      <c r="A698">
        <v>4</v>
      </c>
      <c r="B698">
        <v>32</v>
      </c>
      <c r="C698">
        <v>11</v>
      </c>
      <c r="D698">
        <v>1424</v>
      </c>
      <c r="E698">
        <v>56</v>
      </c>
      <c r="F698">
        <v>8</v>
      </c>
      <c r="G698">
        <v>4.269979921169579</v>
      </c>
      <c r="H698" t="s">
        <v>493</v>
      </c>
      <c r="I698" t="s">
        <v>35</v>
      </c>
      <c r="J698">
        <v>1</v>
      </c>
      <c r="K698">
        <v>71</v>
      </c>
      <c r="L698" t="s">
        <v>473</v>
      </c>
      <c r="M698">
        <v>2322</v>
      </c>
      <c r="N698">
        <v>7.2038343781605363</v>
      </c>
      <c r="O698">
        <v>7.3151752473786473</v>
      </c>
      <c r="P698">
        <v>3.9719257391989231</v>
      </c>
      <c r="Q698">
        <v>10.128641422837971</v>
      </c>
      <c r="R698">
        <v>5</v>
      </c>
      <c r="S698" t="s">
        <v>437</v>
      </c>
      <c r="T698">
        <v>2016</v>
      </c>
      <c r="U698" s="1">
        <v>45901.600802198707</v>
      </c>
      <c r="V698" t="s">
        <v>32</v>
      </c>
      <c r="W698" t="s">
        <v>84</v>
      </c>
      <c r="X698">
        <v>1.503723373399946</v>
      </c>
      <c r="Y698">
        <v>1.8735451097411111</v>
      </c>
      <c r="Z698">
        <v>3.6848247526213531</v>
      </c>
      <c r="AA698">
        <v>2.751937984496124</v>
      </c>
      <c r="AB698">
        <v>0.28353392431700192</v>
      </c>
    </row>
    <row r="699" spans="1:28" x14ac:dyDescent="0.25">
      <c r="A699">
        <v>0</v>
      </c>
      <c r="B699">
        <v>30</v>
      </c>
      <c r="C699">
        <v>11</v>
      </c>
      <c r="D699">
        <v>1580</v>
      </c>
      <c r="E699">
        <v>13</v>
      </c>
      <c r="F699">
        <v>11</v>
      </c>
      <c r="G699">
        <v>8.8586367256939411</v>
      </c>
      <c r="H699" t="s">
        <v>494</v>
      </c>
      <c r="I699" t="s">
        <v>29</v>
      </c>
      <c r="J699">
        <v>0</v>
      </c>
      <c r="K699">
        <v>59</v>
      </c>
      <c r="L699" t="s">
        <v>495</v>
      </c>
      <c r="M699">
        <v>2478</v>
      </c>
      <c r="N699">
        <v>1.1309141051024201</v>
      </c>
      <c r="O699">
        <v>9.6199356950819492</v>
      </c>
      <c r="P699">
        <v>1.1121069109067321</v>
      </c>
      <c r="Q699">
        <v>10.19799464009702</v>
      </c>
      <c r="R699">
        <v>4</v>
      </c>
      <c r="S699" t="s">
        <v>437</v>
      </c>
      <c r="T699">
        <v>2016</v>
      </c>
      <c r="U699" s="1">
        <v>45901.600802198707</v>
      </c>
      <c r="V699" t="s">
        <v>32</v>
      </c>
      <c r="W699" t="s">
        <v>84</v>
      </c>
      <c r="X699">
        <v>1.143458786904739</v>
      </c>
      <c r="Y699">
        <v>1.2417260511535779</v>
      </c>
      <c r="Z699">
        <v>1.380064304918051</v>
      </c>
      <c r="AA699">
        <v>2.1428571428571428</v>
      </c>
      <c r="AB699">
        <v>0.34939233759377541</v>
      </c>
    </row>
    <row r="700" spans="1:28" x14ac:dyDescent="0.25">
      <c r="A700">
        <v>3</v>
      </c>
      <c r="B700">
        <v>38</v>
      </c>
      <c r="C700">
        <v>10</v>
      </c>
      <c r="D700">
        <v>1148</v>
      </c>
      <c r="E700">
        <v>38</v>
      </c>
      <c r="F700">
        <v>9</v>
      </c>
      <c r="G700">
        <v>12.11978161521256</v>
      </c>
      <c r="H700" t="s">
        <v>496</v>
      </c>
      <c r="I700" t="s">
        <v>29</v>
      </c>
      <c r="J700">
        <v>0</v>
      </c>
      <c r="K700">
        <v>78</v>
      </c>
      <c r="L700" t="s">
        <v>451</v>
      </c>
      <c r="M700">
        <v>3163</v>
      </c>
      <c r="N700">
        <v>4.2174165146425366</v>
      </c>
      <c r="O700">
        <v>12.88108354993164</v>
      </c>
      <c r="P700">
        <v>2.5532584311440591</v>
      </c>
      <c r="Q700">
        <v>14.81681705825031</v>
      </c>
      <c r="R700">
        <v>3</v>
      </c>
      <c r="S700" t="s">
        <v>437</v>
      </c>
      <c r="T700">
        <v>2016</v>
      </c>
      <c r="U700" s="1">
        <v>45901.600802198707</v>
      </c>
      <c r="V700" t="s">
        <v>32</v>
      </c>
      <c r="W700" t="s">
        <v>84</v>
      </c>
      <c r="X700">
        <v>0.77633220537980807</v>
      </c>
      <c r="Y700">
        <v>0.74258763777586068</v>
      </c>
      <c r="Z700">
        <v>-2.8810835499316441</v>
      </c>
      <c r="AA700">
        <v>2.219411950679735</v>
      </c>
      <c r="AB700">
        <v>0.36651834318490301</v>
      </c>
    </row>
    <row r="701" spans="1:28" x14ac:dyDescent="0.25">
      <c r="A701">
        <v>8</v>
      </c>
      <c r="B701">
        <v>33</v>
      </c>
      <c r="C701">
        <v>10</v>
      </c>
      <c r="D701">
        <v>1187</v>
      </c>
      <c r="E701">
        <v>60</v>
      </c>
      <c r="F701">
        <v>9</v>
      </c>
      <c r="G701">
        <v>4.4782083369791508</v>
      </c>
      <c r="H701" t="s">
        <v>497</v>
      </c>
      <c r="I701" t="s">
        <v>35</v>
      </c>
      <c r="J701">
        <v>0</v>
      </c>
      <c r="K701">
        <v>94</v>
      </c>
      <c r="L701" t="s">
        <v>455</v>
      </c>
      <c r="M701">
        <v>2526</v>
      </c>
      <c r="N701">
        <v>7.2999458303675064</v>
      </c>
      <c r="O701">
        <v>6.0008053667843342</v>
      </c>
      <c r="P701">
        <v>8.6952393129467964</v>
      </c>
      <c r="Q701">
        <v>13.86832626722753</v>
      </c>
      <c r="R701">
        <v>5</v>
      </c>
      <c r="S701" t="s">
        <v>437</v>
      </c>
      <c r="T701">
        <v>2016</v>
      </c>
      <c r="U701" s="1">
        <v>45901.600802198707</v>
      </c>
      <c r="V701" t="s">
        <v>32</v>
      </c>
      <c r="W701" t="s">
        <v>84</v>
      </c>
      <c r="X701">
        <v>1.666442983695491</v>
      </c>
      <c r="Y701">
        <v>2.0097323131846738</v>
      </c>
      <c r="Z701">
        <v>3.9991946332156658</v>
      </c>
      <c r="AA701">
        <v>3.3491686460807601</v>
      </c>
      <c r="AB701">
        <v>0.2138054168688005</v>
      </c>
    </row>
    <row r="702" spans="1:28" x14ac:dyDescent="0.25">
      <c r="A702">
        <v>4</v>
      </c>
      <c r="B702">
        <v>34</v>
      </c>
      <c r="C702">
        <v>10</v>
      </c>
      <c r="D702">
        <v>1340</v>
      </c>
      <c r="E702">
        <v>19</v>
      </c>
      <c r="F702">
        <v>10</v>
      </c>
      <c r="G702">
        <v>6.6635380890220404</v>
      </c>
      <c r="H702" t="s">
        <v>498</v>
      </c>
      <c r="I702" t="s">
        <v>29</v>
      </c>
      <c r="J702">
        <v>0</v>
      </c>
      <c r="K702">
        <v>44</v>
      </c>
      <c r="L702" t="s">
        <v>499</v>
      </c>
      <c r="M702">
        <v>1969</v>
      </c>
      <c r="N702">
        <v>2.18282546941191</v>
      </c>
      <c r="O702">
        <v>7.424838175997138</v>
      </c>
      <c r="P702">
        <v>0.84144910890609026</v>
      </c>
      <c r="Q702">
        <v>8.0525316689163446</v>
      </c>
      <c r="R702">
        <v>0</v>
      </c>
      <c r="S702" t="s">
        <v>437</v>
      </c>
      <c r="T702">
        <v>2016</v>
      </c>
      <c r="U702" s="1">
        <v>45901.600802198707</v>
      </c>
      <c r="V702" t="s">
        <v>32</v>
      </c>
      <c r="W702" t="s">
        <v>84</v>
      </c>
      <c r="X702">
        <v>1.3468307002740869</v>
      </c>
      <c r="Y702">
        <v>1.5007042604700751</v>
      </c>
      <c r="Z702">
        <v>2.575161824002862</v>
      </c>
      <c r="AA702">
        <v>2.011173184357542</v>
      </c>
      <c r="AB702">
        <v>0.33937807813090021</v>
      </c>
    </row>
    <row r="703" spans="1:28" x14ac:dyDescent="0.25">
      <c r="A703">
        <v>1</v>
      </c>
      <c r="B703">
        <v>22</v>
      </c>
      <c r="C703">
        <v>10</v>
      </c>
      <c r="D703">
        <v>1434</v>
      </c>
      <c r="E703">
        <v>7</v>
      </c>
      <c r="F703">
        <v>9</v>
      </c>
      <c r="G703">
        <v>4.3132677376270294</v>
      </c>
      <c r="H703" t="s">
        <v>500</v>
      </c>
      <c r="I703" t="s">
        <v>29</v>
      </c>
      <c r="J703">
        <v>0</v>
      </c>
      <c r="K703">
        <v>45</v>
      </c>
      <c r="L703" t="s">
        <v>473</v>
      </c>
      <c r="M703">
        <v>1318</v>
      </c>
      <c r="N703">
        <v>0.79191972501575947</v>
      </c>
      <c r="O703">
        <v>5.0745666399598122</v>
      </c>
      <c r="P703">
        <v>1.877732006832957</v>
      </c>
      <c r="Q703">
        <v>5.8136437851935634</v>
      </c>
      <c r="R703">
        <v>0</v>
      </c>
      <c r="S703" t="s">
        <v>437</v>
      </c>
      <c r="T703">
        <v>2016</v>
      </c>
      <c r="U703" s="1">
        <v>45901.600802198707</v>
      </c>
      <c r="V703" t="s">
        <v>32</v>
      </c>
      <c r="W703" t="s">
        <v>84</v>
      </c>
      <c r="X703">
        <v>1.97061162252846</v>
      </c>
      <c r="Y703">
        <v>2.0865850551052061</v>
      </c>
      <c r="Z703">
        <v>4.9254333600401878</v>
      </c>
      <c r="AA703">
        <v>3.0728376327769351</v>
      </c>
      <c r="AB703">
        <v>0.34651820758450919</v>
      </c>
    </row>
    <row r="704" spans="1:28" x14ac:dyDescent="0.25">
      <c r="A704">
        <v>9</v>
      </c>
      <c r="B704">
        <v>33</v>
      </c>
      <c r="C704">
        <v>29</v>
      </c>
      <c r="D704">
        <v>1209</v>
      </c>
      <c r="E704">
        <v>37</v>
      </c>
      <c r="F704">
        <v>22</v>
      </c>
      <c r="G704">
        <v>15.20952946133912</v>
      </c>
      <c r="H704" t="s">
        <v>477</v>
      </c>
      <c r="I704" t="s">
        <v>32</v>
      </c>
      <c r="J704">
        <v>1</v>
      </c>
      <c r="K704">
        <v>110</v>
      </c>
      <c r="L704" t="s">
        <v>459</v>
      </c>
      <c r="M704">
        <v>2706</v>
      </c>
      <c r="N704">
        <v>6.8103723097592592</v>
      </c>
      <c r="O704">
        <v>21.299808682873849</v>
      </c>
      <c r="P704">
        <v>5.5241587106138468</v>
      </c>
      <c r="Q704">
        <v>23.533572487533089</v>
      </c>
      <c r="R704">
        <v>3</v>
      </c>
      <c r="S704" t="s">
        <v>437</v>
      </c>
      <c r="T704">
        <v>2017</v>
      </c>
      <c r="U704" s="1">
        <v>45901.600802198707</v>
      </c>
      <c r="V704" t="s">
        <v>32</v>
      </c>
      <c r="W704" t="s">
        <v>97</v>
      </c>
      <c r="X704">
        <v>1.3615145765754</v>
      </c>
      <c r="Y704">
        <v>1.4464615789674149</v>
      </c>
      <c r="Z704">
        <v>7.7001913171261549</v>
      </c>
      <c r="AA704">
        <v>3.6585365853658529</v>
      </c>
      <c r="AB704">
        <v>0.70841935752352037</v>
      </c>
    </row>
    <row r="705" spans="1:28" x14ac:dyDescent="0.25">
      <c r="A705">
        <v>2</v>
      </c>
      <c r="B705">
        <v>34</v>
      </c>
      <c r="C705">
        <v>29</v>
      </c>
      <c r="D705">
        <v>1513</v>
      </c>
      <c r="E705">
        <v>31</v>
      </c>
      <c r="F705">
        <v>23</v>
      </c>
      <c r="G705">
        <v>17.690779555588961</v>
      </c>
      <c r="H705" t="s">
        <v>435</v>
      </c>
      <c r="I705" t="s">
        <v>32</v>
      </c>
      <c r="J705">
        <v>0</v>
      </c>
      <c r="K705">
        <v>98</v>
      </c>
      <c r="L705" t="s">
        <v>436</v>
      </c>
      <c r="M705">
        <v>2984</v>
      </c>
      <c r="N705">
        <v>4.5140532162040472</v>
      </c>
      <c r="O705">
        <v>23.019863333553079</v>
      </c>
      <c r="P705">
        <v>3.0453938059508801</v>
      </c>
      <c r="Q705">
        <v>22.247773202136159</v>
      </c>
      <c r="R705">
        <v>2</v>
      </c>
      <c r="S705" t="s">
        <v>437</v>
      </c>
      <c r="T705">
        <v>2017</v>
      </c>
      <c r="U705" s="1">
        <v>45901.600802198707</v>
      </c>
      <c r="V705" t="s">
        <v>32</v>
      </c>
      <c r="W705" t="s">
        <v>97</v>
      </c>
      <c r="X705">
        <v>1.2597815886131021</v>
      </c>
      <c r="Y705">
        <v>1.300112294527672</v>
      </c>
      <c r="Z705">
        <v>5.9801366664469207</v>
      </c>
      <c r="AA705">
        <v>2.955764075067024</v>
      </c>
      <c r="AB705">
        <v>0.69429882708437574</v>
      </c>
    </row>
    <row r="706" spans="1:28" x14ac:dyDescent="0.25">
      <c r="A706">
        <v>5</v>
      </c>
      <c r="B706">
        <v>33</v>
      </c>
      <c r="C706">
        <v>22</v>
      </c>
      <c r="D706">
        <v>1294</v>
      </c>
      <c r="E706">
        <v>54</v>
      </c>
      <c r="F706">
        <v>19</v>
      </c>
      <c r="G706">
        <v>9.3638730812817794</v>
      </c>
      <c r="H706" t="s">
        <v>456</v>
      </c>
      <c r="I706" t="s">
        <v>35</v>
      </c>
      <c r="J706">
        <v>0</v>
      </c>
      <c r="K706">
        <v>114</v>
      </c>
      <c r="L706" t="s">
        <v>441</v>
      </c>
      <c r="M706">
        <v>2356</v>
      </c>
      <c r="N706">
        <v>4.8194448910653591</v>
      </c>
      <c r="O706">
        <v>13.17028943635523</v>
      </c>
      <c r="P706">
        <v>6.6771434284746647</v>
      </c>
      <c r="Q706">
        <v>15.79188045486808</v>
      </c>
      <c r="R706">
        <v>0</v>
      </c>
      <c r="S706" t="s">
        <v>437</v>
      </c>
      <c r="T706">
        <v>2017</v>
      </c>
      <c r="U706" s="1">
        <v>45901.600802198707</v>
      </c>
      <c r="V706" t="s">
        <v>32</v>
      </c>
      <c r="W706" t="s">
        <v>97</v>
      </c>
      <c r="X706">
        <v>1.6704264630108481</v>
      </c>
      <c r="Y706">
        <v>2.02907491751257</v>
      </c>
      <c r="Z706">
        <v>8.8297105636447686</v>
      </c>
      <c r="AA706">
        <v>4.354838709677419</v>
      </c>
      <c r="AB706">
        <v>0.50310952855346813</v>
      </c>
    </row>
    <row r="707" spans="1:28" x14ac:dyDescent="0.25">
      <c r="A707">
        <v>6</v>
      </c>
      <c r="B707">
        <v>35</v>
      </c>
      <c r="C707">
        <v>19</v>
      </c>
      <c r="D707">
        <v>1230</v>
      </c>
      <c r="E707">
        <v>37</v>
      </c>
      <c r="F707">
        <v>12</v>
      </c>
      <c r="G707">
        <v>12.3015873292461</v>
      </c>
      <c r="H707" t="s">
        <v>454</v>
      </c>
      <c r="I707" t="s">
        <v>29</v>
      </c>
      <c r="J707">
        <v>0</v>
      </c>
      <c r="K707">
        <v>111</v>
      </c>
      <c r="L707" t="s">
        <v>487</v>
      </c>
      <c r="M707">
        <v>2747</v>
      </c>
      <c r="N707">
        <v>6.6489387769252062</v>
      </c>
      <c r="O707">
        <v>18.391944392584261</v>
      </c>
      <c r="P707">
        <v>2.5685245236381888</v>
      </c>
      <c r="Q707">
        <v>17.737697571516041</v>
      </c>
      <c r="R707">
        <v>4</v>
      </c>
      <c r="S707" t="s">
        <v>437</v>
      </c>
      <c r="T707">
        <v>2017</v>
      </c>
      <c r="U707" s="1">
        <v>45901.600802198707</v>
      </c>
      <c r="V707" t="s">
        <v>32</v>
      </c>
      <c r="W707" t="s">
        <v>97</v>
      </c>
      <c r="X707">
        <v>1.033060974654801</v>
      </c>
      <c r="Y707">
        <v>0.97548386877447091</v>
      </c>
      <c r="Z707">
        <v>0.60805560741573572</v>
      </c>
      <c r="AA707">
        <v>3.6366945759009832</v>
      </c>
      <c r="AB707">
        <v>0.6025755352503035</v>
      </c>
    </row>
    <row r="708" spans="1:28" x14ac:dyDescent="0.25">
      <c r="A708">
        <v>6</v>
      </c>
      <c r="B708">
        <v>38</v>
      </c>
      <c r="C708">
        <v>18</v>
      </c>
      <c r="D708">
        <v>1384</v>
      </c>
      <c r="E708">
        <v>59</v>
      </c>
      <c r="F708">
        <v>14</v>
      </c>
      <c r="G708">
        <v>14.9830437079072</v>
      </c>
      <c r="H708" t="s">
        <v>476</v>
      </c>
      <c r="I708" t="s">
        <v>29</v>
      </c>
      <c r="J708">
        <v>0</v>
      </c>
      <c r="K708">
        <v>128</v>
      </c>
      <c r="L708" t="s">
        <v>443</v>
      </c>
      <c r="M708">
        <v>3026</v>
      </c>
      <c r="N708">
        <v>7.5255344845354557</v>
      </c>
      <c r="O708">
        <v>18.789532698690891</v>
      </c>
      <c r="P708">
        <v>9.0925470748916286</v>
      </c>
      <c r="Q708">
        <v>26.602139268070459</v>
      </c>
      <c r="R708">
        <v>4</v>
      </c>
      <c r="S708" t="s">
        <v>437</v>
      </c>
      <c r="T708">
        <v>2017</v>
      </c>
      <c r="U708" s="1">
        <v>45901.600802198707</v>
      </c>
      <c r="V708" t="s">
        <v>32</v>
      </c>
      <c r="W708" t="s">
        <v>97</v>
      </c>
      <c r="X708">
        <v>0.95798018442758293</v>
      </c>
      <c r="Y708">
        <v>0.93438958551603202</v>
      </c>
      <c r="Z708">
        <v>-0.78953269869089127</v>
      </c>
      <c r="AA708">
        <v>3.8070059484467942</v>
      </c>
      <c r="AB708">
        <v>0.55884267775352947</v>
      </c>
    </row>
    <row r="709" spans="1:28" x14ac:dyDescent="0.25">
      <c r="A709">
        <v>4</v>
      </c>
      <c r="B709">
        <v>36</v>
      </c>
      <c r="C709">
        <v>16</v>
      </c>
      <c r="D709">
        <v>1253</v>
      </c>
      <c r="E709">
        <v>49</v>
      </c>
      <c r="F709">
        <v>16</v>
      </c>
      <c r="G709">
        <v>17.002712409943339</v>
      </c>
      <c r="H709" t="s">
        <v>475</v>
      </c>
      <c r="I709" t="s">
        <v>29</v>
      </c>
      <c r="J709">
        <v>0</v>
      </c>
      <c r="K709">
        <v>152</v>
      </c>
      <c r="L709" t="s">
        <v>467</v>
      </c>
      <c r="M709">
        <v>3016</v>
      </c>
      <c r="N709">
        <v>4.1594565408304334</v>
      </c>
      <c r="O709">
        <v>17.002712409943339</v>
      </c>
      <c r="P709">
        <v>5.3670703265815973</v>
      </c>
      <c r="Q709">
        <v>23.339887775480751</v>
      </c>
      <c r="R709">
        <v>6</v>
      </c>
      <c r="S709" t="s">
        <v>437</v>
      </c>
      <c r="T709">
        <v>2017</v>
      </c>
      <c r="U709" s="1">
        <v>45901.600802198707</v>
      </c>
      <c r="V709" t="s">
        <v>32</v>
      </c>
      <c r="W709" t="s">
        <v>97</v>
      </c>
      <c r="X709">
        <v>0.94102632651970597</v>
      </c>
      <c r="Y709">
        <v>0.94102632651970597</v>
      </c>
      <c r="Z709">
        <v>-1.002712409943342</v>
      </c>
      <c r="AA709">
        <v>4.5358090185676394</v>
      </c>
      <c r="AB709">
        <v>0.50737537032324298</v>
      </c>
    </row>
    <row r="710" spans="1:28" x14ac:dyDescent="0.25">
      <c r="A710">
        <v>6</v>
      </c>
      <c r="B710">
        <v>35</v>
      </c>
      <c r="C710">
        <v>16</v>
      </c>
      <c r="D710">
        <v>1293</v>
      </c>
      <c r="E710">
        <v>30</v>
      </c>
      <c r="F710">
        <v>15</v>
      </c>
      <c r="G710">
        <v>11.88912716135383</v>
      </c>
      <c r="H710" t="s">
        <v>442</v>
      </c>
      <c r="I710" t="s">
        <v>29</v>
      </c>
      <c r="J710">
        <v>0</v>
      </c>
      <c r="K710">
        <v>102</v>
      </c>
      <c r="L710" t="s">
        <v>441</v>
      </c>
      <c r="M710">
        <v>2811</v>
      </c>
      <c r="N710">
        <v>3.2216845341026779</v>
      </c>
      <c r="O710">
        <v>13.411729529500009</v>
      </c>
      <c r="P710">
        <v>5.6754338666796684</v>
      </c>
      <c r="Q710">
        <v>18.532193060964339</v>
      </c>
      <c r="R710">
        <v>4</v>
      </c>
      <c r="S710" t="s">
        <v>437</v>
      </c>
      <c r="T710">
        <v>2017</v>
      </c>
      <c r="U710" s="1">
        <v>45901.600802198707</v>
      </c>
      <c r="V710" t="s">
        <v>32</v>
      </c>
      <c r="W710" t="s">
        <v>97</v>
      </c>
      <c r="X710">
        <v>1.1929855851034661</v>
      </c>
      <c r="Y710">
        <v>1.2616569573549701</v>
      </c>
      <c r="Z710">
        <v>2.5882704704999919</v>
      </c>
      <c r="AA710">
        <v>3.2657417289220918</v>
      </c>
      <c r="AB710">
        <v>0.42940436060298848</v>
      </c>
    </row>
    <row r="711" spans="1:28" x14ac:dyDescent="0.25">
      <c r="A711">
        <v>4</v>
      </c>
      <c r="B711">
        <v>38</v>
      </c>
      <c r="C711">
        <v>14</v>
      </c>
      <c r="D711">
        <v>1102</v>
      </c>
      <c r="E711">
        <v>37</v>
      </c>
      <c r="F711">
        <v>14</v>
      </c>
      <c r="G711">
        <v>14.101910475641491</v>
      </c>
      <c r="H711" t="s">
        <v>486</v>
      </c>
      <c r="I711" t="s">
        <v>29</v>
      </c>
      <c r="J711">
        <v>0</v>
      </c>
      <c r="K711">
        <v>106</v>
      </c>
      <c r="L711" t="s">
        <v>473</v>
      </c>
      <c r="M711">
        <v>3027</v>
      </c>
      <c r="N711">
        <v>2.7589886840432878</v>
      </c>
      <c r="O711">
        <v>14.101910475641491</v>
      </c>
      <c r="P711">
        <v>2.6692787688225512</v>
      </c>
      <c r="Q711">
        <v>17.262482844293121</v>
      </c>
      <c r="R711">
        <v>2</v>
      </c>
      <c r="S711" t="s">
        <v>437</v>
      </c>
      <c r="T711">
        <v>2017</v>
      </c>
      <c r="U711" s="1">
        <v>45901.600802198707</v>
      </c>
      <c r="V711" t="s">
        <v>32</v>
      </c>
      <c r="W711" t="s">
        <v>97</v>
      </c>
      <c r="X711">
        <v>0.99277328587374603</v>
      </c>
      <c r="Y711">
        <v>0.99277328587374603</v>
      </c>
      <c r="Z711">
        <v>-0.10191047564148729</v>
      </c>
      <c r="AA711">
        <v>3.1516352824578791</v>
      </c>
      <c r="AB711">
        <v>0.41928376042541582</v>
      </c>
    </row>
    <row r="712" spans="1:28" x14ac:dyDescent="0.25">
      <c r="A712">
        <v>8</v>
      </c>
      <c r="B712">
        <v>37</v>
      </c>
      <c r="C712">
        <v>12</v>
      </c>
      <c r="D712">
        <v>1185</v>
      </c>
      <c r="E712">
        <v>72</v>
      </c>
      <c r="F712">
        <v>12</v>
      </c>
      <c r="G712">
        <v>8.7427478339523077</v>
      </c>
      <c r="H712" t="s">
        <v>452</v>
      </c>
      <c r="I712" t="s">
        <v>35</v>
      </c>
      <c r="J712">
        <v>0</v>
      </c>
      <c r="K712">
        <v>76</v>
      </c>
      <c r="L712" t="s">
        <v>455</v>
      </c>
      <c r="M712">
        <v>2864</v>
      </c>
      <c r="N712">
        <v>7.619544985704124</v>
      </c>
      <c r="O712">
        <v>8.7427478339523077</v>
      </c>
      <c r="P712">
        <v>3.2429327443242082</v>
      </c>
      <c r="Q712">
        <v>15.690612580627199</v>
      </c>
      <c r="R712">
        <v>2</v>
      </c>
      <c r="S712" t="s">
        <v>437</v>
      </c>
      <c r="T712">
        <v>2017</v>
      </c>
      <c r="U712" s="1">
        <v>45901.600802198707</v>
      </c>
      <c r="V712" t="s">
        <v>32</v>
      </c>
      <c r="W712" t="s">
        <v>97</v>
      </c>
      <c r="X712">
        <v>1.372566180325848</v>
      </c>
      <c r="Y712">
        <v>1.372566180325848</v>
      </c>
      <c r="Z712">
        <v>3.2572521660476919</v>
      </c>
      <c r="AA712">
        <v>2.3882681564245809</v>
      </c>
      <c r="AB712">
        <v>0.27473718751945098</v>
      </c>
    </row>
    <row r="713" spans="1:28" x14ac:dyDescent="0.25">
      <c r="A713">
        <v>2</v>
      </c>
      <c r="B713">
        <v>34</v>
      </c>
      <c r="C713">
        <v>12</v>
      </c>
      <c r="D713">
        <v>1340</v>
      </c>
      <c r="E713">
        <v>25</v>
      </c>
      <c r="F713">
        <v>11</v>
      </c>
      <c r="G713">
        <v>7.5376505013555288</v>
      </c>
      <c r="H713" t="s">
        <v>498</v>
      </c>
      <c r="I713" t="s">
        <v>29</v>
      </c>
      <c r="J713">
        <v>0</v>
      </c>
      <c r="K713">
        <v>76</v>
      </c>
      <c r="L713" t="s">
        <v>499</v>
      </c>
      <c r="M713">
        <v>2807</v>
      </c>
      <c r="N713">
        <v>2.552058898378164</v>
      </c>
      <c r="O713">
        <v>9.0602494832128286</v>
      </c>
      <c r="P713">
        <v>2.3164838375523691</v>
      </c>
      <c r="Q713">
        <v>9.9726231843233109</v>
      </c>
      <c r="R713">
        <v>3</v>
      </c>
      <c r="S713" t="s">
        <v>437</v>
      </c>
      <c r="T713">
        <v>2017</v>
      </c>
      <c r="U713" s="1">
        <v>45901.600802198707</v>
      </c>
      <c r="V713" t="s">
        <v>32</v>
      </c>
      <c r="W713" t="s">
        <v>97</v>
      </c>
      <c r="X713">
        <v>1.3244668397083379</v>
      </c>
      <c r="Y713">
        <v>1.459340678905426</v>
      </c>
      <c r="Z713">
        <v>2.9397505167871709</v>
      </c>
      <c r="AA713">
        <v>2.4367652297826861</v>
      </c>
      <c r="AB713">
        <v>0.29049606465591538</v>
      </c>
    </row>
    <row r="714" spans="1:28" x14ac:dyDescent="0.25">
      <c r="A714">
        <v>1</v>
      </c>
      <c r="B714">
        <v>29</v>
      </c>
      <c r="C714">
        <v>12</v>
      </c>
      <c r="D714">
        <v>1903</v>
      </c>
      <c r="E714">
        <v>11</v>
      </c>
      <c r="F714">
        <v>12</v>
      </c>
      <c r="G714">
        <v>13.01709595695138</v>
      </c>
      <c r="H714" t="s">
        <v>501</v>
      </c>
      <c r="I714" t="s">
        <v>35</v>
      </c>
      <c r="J714">
        <v>0</v>
      </c>
      <c r="K714">
        <v>72</v>
      </c>
      <c r="L714" t="s">
        <v>451</v>
      </c>
      <c r="M714">
        <v>2159</v>
      </c>
      <c r="N714">
        <v>0.60693520400673151</v>
      </c>
      <c r="O714">
        <v>13.01709595695138</v>
      </c>
      <c r="P714">
        <v>2.6421421710401769</v>
      </c>
      <c r="Q714">
        <v>15.851691884919999</v>
      </c>
      <c r="R714">
        <v>1</v>
      </c>
      <c r="S714" t="s">
        <v>437</v>
      </c>
      <c r="T714">
        <v>2017</v>
      </c>
      <c r="U714" s="1">
        <v>45901.600802198707</v>
      </c>
      <c r="V714" t="s">
        <v>32</v>
      </c>
      <c r="W714" t="s">
        <v>97</v>
      </c>
      <c r="X714">
        <v>0.92186460326366182</v>
      </c>
      <c r="Y714">
        <v>0.92186460326366182</v>
      </c>
      <c r="Z714">
        <v>-1.01709595695138</v>
      </c>
      <c r="AA714">
        <v>3.0013895321908288</v>
      </c>
      <c r="AB714">
        <v>0.5426302158988533</v>
      </c>
    </row>
    <row r="715" spans="1:28" x14ac:dyDescent="0.25">
      <c r="A715">
        <v>0</v>
      </c>
      <c r="B715">
        <v>33</v>
      </c>
      <c r="C715">
        <v>11</v>
      </c>
      <c r="D715">
        <v>1104</v>
      </c>
      <c r="E715">
        <v>23</v>
      </c>
      <c r="F715">
        <v>11</v>
      </c>
      <c r="G715">
        <v>11.587606087327</v>
      </c>
      <c r="H715" t="s">
        <v>466</v>
      </c>
      <c r="I715" t="s">
        <v>29</v>
      </c>
      <c r="J715">
        <v>0</v>
      </c>
      <c r="K715">
        <v>86</v>
      </c>
      <c r="L715" t="s">
        <v>480</v>
      </c>
      <c r="M715">
        <v>2728</v>
      </c>
      <c r="N715">
        <v>1.8446425050497051</v>
      </c>
      <c r="O715">
        <v>11.587606087327</v>
      </c>
      <c r="P715">
        <v>3.4487016592174768</v>
      </c>
      <c r="Q715">
        <v>12.568766495212911</v>
      </c>
      <c r="R715">
        <v>8</v>
      </c>
      <c r="S715" t="s">
        <v>437</v>
      </c>
      <c r="T715">
        <v>2017</v>
      </c>
      <c r="U715" s="1">
        <v>45901.600802198707</v>
      </c>
      <c r="V715" t="s">
        <v>32</v>
      </c>
      <c r="W715" t="s">
        <v>97</v>
      </c>
      <c r="X715">
        <v>0.94929012231701171</v>
      </c>
      <c r="Y715">
        <v>0.94929012231701171</v>
      </c>
      <c r="Z715">
        <v>-0.58760608732700348</v>
      </c>
      <c r="AA715">
        <v>2.8372434017595309</v>
      </c>
      <c r="AB715">
        <v>0.38228905713322231</v>
      </c>
    </row>
    <row r="716" spans="1:28" x14ac:dyDescent="0.25">
      <c r="A716">
        <v>4</v>
      </c>
      <c r="B716">
        <v>31</v>
      </c>
      <c r="C716">
        <v>11</v>
      </c>
      <c r="D716">
        <v>1148</v>
      </c>
      <c r="E716">
        <v>29</v>
      </c>
      <c r="F716">
        <v>11</v>
      </c>
      <c r="G716">
        <v>9.4766138903796673</v>
      </c>
      <c r="H716" t="s">
        <v>496</v>
      </c>
      <c r="I716" t="s">
        <v>29</v>
      </c>
      <c r="J716">
        <v>0</v>
      </c>
      <c r="K716">
        <v>53</v>
      </c>
      <c r="L716" t="s">
        <v>487</v>
      </c>
      <c r="M716">
        <v>2122</v>
      </c>
      <c r="N716">
        <v>3.522916872054338</v>
      </c>
      <c r="O716">
        <v>9.4766138903796673</v>
      </c>
      <c r="P716">
        <v>2.954405695199966</v>
      </c>
      <c r="Q716">
        <v>13.796359289437531</v>
      </c>
      <c r="R716">
        <v>1</v>
      </c>
      <c r="S716" t="s">
        <v>437</v>
      </c>
      <c r="T716">
        <v>2017</v>
      </c>
      <c r="U716" s="1">
        <v>45901.600802198707</v>
      </c>
      <c r="V716" t="s">
        <v>32</v>
      </c>
      <c r="W716" t="s">
        <v>97</v>
      </c>
      <c r="X716">
        <v>1.1607521554895071</v>
      </c>
      <c r="Y716">
        <v>1.1607521554895071</v>
      </c>
      <c r="Z716">
        <v>1.5233861096203329</v>
      </c>
      <c r="AA716">
        <v>2.2478793590951929</v>
      </c>
      <c r="AB716">
        <v>0.40192990109998589</v>
      </c>
    </row>
    <row r="717" spans="1:28" x14ac:dyDescent="0.25">
      <c r="A717">
        <v>14</v>
      </c>
      <c r="B717">
        <v>34</v>
      </c>
      <c r="C717">
        <v>11</v>
      </c>
      <c r="D717">
        <v>1219</v>
      </c>
      <c r="E717">
        <v>87</v>
      </c>
      <c r="F717">
        <v>10</v>
      </c>
      <c r="G717">
        <v>5.8931210245937109</v>
      </c>
      <c r="H717" t="s">
        <v>502</v>
      </c>
      <c r="I717" t="s">
        <v>35</v>
      </c>
      <c r="J717">
        <v>0</v>
      </c>
      <c r="K717">
        <v>80</v>
      </c>
      <c r="L717" t="s">
        <v>459</v>
      </c>
      <c r="M717">
        <v>2688</v>
      </c>
      <c r="N717">
        <v>10.92570958659053</v>
      </c>
      <c r="O717">
        <v>7.4157183598726988</v>
      </c>
      <c r="P717">
        <v>9.9858027026057243</v>
      </c>
      <c r="Q717">
        <v>18.896084995940331</v>
      </c>
      <c r="R717">
        <v>5</v>
      </c>
      <c r="S717" t="s">
        <v>437</v>
      </c>
      <c r="T717">
        <v>2017</v>
      </c>
      <c r="U717" s="1">
        <v>45901.600802198707</v>
      </c>
      <c r="V717" t="s">
        <v>32</v>
      </c>
      <c r="W717" t="s">
        <v>97</v>
      </c>
      <c r="X717">
        <v>1.483335729080848</v>
      </c>
      <c r="Y717">
        <v>1.696893710186349</v>
      </c>
      <c r="Z717">
        <v>3.5842816401273012</v>
      </c>
      <c r="AA717">
        <v>2.6785714285714279</v>
      </c>
      <c r="AB717">
        <v>0.2482941415135948</v>
      </c>
    </row>
    <row r="718" spans="1:28" x14ac:dyDescent="0.25">
      <c r="A718">
        <v>8</v>
      </c>
      <c r="B718">
        <v>31</v>
      </c>
      <c r="C718">
        <v>11</v>
      </c>
      <c r="D718">
        <v>1426</v>
      </c>
      <c r="E718">
        <v>66</v>
      </c>
      <c r="F718">
        <v>9</v>
      </c>
      <c r="G718">
        <v>7.1976804882287979</v>
      </c>
      <c r="H718" t="s">
        <v>503</v>
      </c>
      <c r="I718" t="s">
        <v>35</v>
      </c>
      <c r="J718">
        <v>0</v>
      </c>
      <c r="K718">
        <v>90</v>
      </c>
      <c r="L718" t="s">
        <v>482</v>
      </c>
      <c r="M718">
        <v>2007</v>
      </c>
      <c r="N718">
        <v>6.3604792430996886</v>
      </c>
      <c r="O718">
        <v>8.7202414721250534</v>
      </c>
      <c r="P718">
        <v>8.3833192596212029</v>
      </c>
      <c r="Q718">
        <v>16.36592500470579</v>
      </c>
      <c r="R718">
        <v>3</v>
      </c>
      <c r="S718" t="s">
        <v>437</v>
      </c>
      <c r="T718">
        <v>2017</v>
      </c>
      <c r="U718" s="1">
        <v>45901.600802198707</v>
      </c>
      <c r="V718" t="s">
        <v>32</v>
      </c>
      <c r="W718" t="s">
        <v>97</v>
      </c>
      <c r="X718">
        <v>1.2614329586127151</v>
      </c>
      <c r="Y718">
        <v>1.2504028227869719</v>
      </c>
      <c r="Z718">
        <v>2.279758527874947</v>
      </c>
      <c r="AA718">
        <v>4.0358744394618844</v>
      </c>
      <c r="AB718">
        <v>0.39104221848094411</v>
      </c>
    </row>
    <row r="719" spans="1:28" x14ac:dyDescent="0.25">
      <c r="A719">
        <v>7</v>
      </c>
      <c r="B719">
        <v>33</v>
      </c>
      <c r="C719">
        <v>11</v>
      </c>
      <c r="D719">
        <v>6187</v>
      </c>
      <c r="E719">
        <v>34</v>
      </c>
      <c r="F719">
        <v>6</v>
      </c>
      <c r="G719">
        <v>3.9168699095025659</v>
      </c>
      <c r="H719" t="s">
        <v>504</v>
      </c>
      <c r="I719" t="s">
        <v>35</v>
      </c>
      <c r="J719">
        <v>0</v>
      </c>
      <c r="K719">
        <v>67</v>
      </c>
      <c r="L719" t="s">
        <v>505</v>
      </c>
      <c r="M719">
        <v>2572</v>
      </c>
      <c r="N719">
        <v>3.7638451801612969</v>
      </c>
      <c r="O719">
        <v>7.7233297871425748</v>
      </c>
      <c r="P719">
        <v>2.8267044927924871</v>
      </c>
      <c r="Q719">
        <v>8.1341281719505787</v>
      </c>
      <c r="R719">
        <v>1</v>
      </c>
      <c r="S719" t="s">
        <v>437</v>
      </c>
      <c r="T719">
        <v>2017</v>
      </c>
      <c r="U719" s="1">
        <v>45901.600802198707</v>
      </c>
      <c r="V719" t="s">
        <v>32</v>
      </c>
      <c r="W719" t="s">
        <v>97</v>
      </c>
      <c r="X719">
        <v>1.4242561567566709</v>
      </c>
      <c r="Y719">
        <v>1.5318354039391591</v>
      </c>
      <c r="Z719">
        <v>3.2766702128574252</v>
      </c>
      <c r="AA719">
        <v>2.3444790046656299</v>
      </c>
      <c r="AB719">
        <v>0.27025648555320048</v>
      </c>
    </row>
    <row r="720" spans="1:28" x14ac:dyDescent="0.25">
      <c r="A720">
        <v>4</v>
      </c>
      <c r="B720">
        <v>32</v>
      </c>
      <c r="C720">
        <v>10</v>
      </c>
      <c r="D720">
        <v>1186</v>
      </c>
      <c r="E720">
        <v>30</v>
      </c>
      <c r="F720">
        <v>10</v>
      </c>
      <c r="G720">
        <v>10.463164932094511</v>
      </c>
      <c r="H720" t="s">
        <v>470</v>
      </c>
      <c r="I720" t="s">
        <v>29</v>
      </c>
      <c r="J720">
        <v>0</v>
      </c>
      <c r="K720">
        <v>84</v>
      </c>
      <c r="L720" t="s">
        <v>455</v>
      </c>
      <c r="M720">
        <v>2675</v>
      </c>
      <c r="N720">
        <v>4.6893759556114674</v>
      </c>
      <c r="O720">
        <v>11.9857589667663</v>
      </c>
      <c r="P720">
        <v>5.4838707940652966</v>
      </c>
      <c r="Q720">
        <v>14.23964993655682</v>
      </c>
      <c r="R720">
        <v>2</v>
      </c>
      <c r="S720" t="s">
        <v>437</v>
      </c>
      <c r="T720">
        <v>2017</v>
      </c>
      <c r="U720" s="1">
        <v>45901.600802198707</v>
      </c>
      <c r="V720" t="s">
        <v>32</v>
      </c>
      <c r="W720" t="s">
        <v>97</v>
      </c>
      <c r="X720">
        <v>0.83432346902083199</v>
      </c>
      <c r="Y720">
        <v>0.95573376362692986</v>
      </c>
      <c r="Z720">
        <v>-1.985758966766298</v>
      </c>
      <c r="AA720">
        <v>2.826168224299066</v>
      </c>
      <c r="AB720">
        <v>0.40325918019026802</v>
      </c>
    </row>
    <row r="721" spans="1:28" x14ac:dyDescent="0.25">
      <c r="A721">
        <v>10</v>
      </c>
      <c r="B721">
        <v>38</v>
      </c>
      <c r="C721">
        <v>10</v>
      </c>
      <c r="D721">
        <v>1382</v>
      </c>
      <c r="E721">
        <v>73</v>
      </c>
      <c r="F721">
        <v>10</v>
      </c>
      <c r="G721">
        <v>10.090287003666161</v>
      </c>
      <c r="H721" t="s">
        <v>483</v>
      </c>
      <c r="I721" t="s">
        <v>32</v>
      </c>
      <c r="J721">
        <v>0</v>
      </c>
      <c r="K721">
        <v>64</v>
      </c>
      <c r="L721" t="s">
        <v>443</v>
      </c>
      <c r="M721">
        <v>3269</v>
      </c>
      <c r="N721">
        <v>7.8346629915758967</v>
      </c>
      <c r="O721">
        <v>10.090287003666161</v>
      </c>
      <c r="P721">
        <v>10.660414174199101</v>
      </c>
      <c r="Q721">
        <v>24.69322253018618</v>
      </c>
      <c r="R721">
        <v>3</v>
      </c>
      <c r="S721" t="s">
        <v>437</v>
      </c>
      <c r="T721">
        <v>2017</v>
      </c>
      <c r="U721" s="1">
        <v>45901.600802198707</v>
      </c>
      <c r="V721" t="s">
        <v>32</v>
      </c>
      <c r="W721" t="s">
        <v>97</v>
      </c>
      <c r="X721">
        <v>0.99105208765287267</v>
      </c>
      <c r="Y721">
        <v>0.99105208765287267</v>
      </c>
      <c r="Z721">
        <v>-9.0287003666162491E-2</v>
      </c>
      <c r="AA721">
        <v>1.7620067298868161</v>
      </c>
      <c r="AB721">
        <v>0.27779927510858199</v>
      </c>
    </row>
    <row r="722" spans="1:28" x14ac:dyDescent="0.25">
      <c r="A722">
        <v>10</v>
      </c>
      <c r="B722">
        <v>34</v>
      </c>
      <c r="C722">
        <v>10</v>
      </c>
      <c r="D722">
        <v>1445</v>
      </c>
      <c r="E722">
        <v>50</v>
      </c>
      <c r="F722">
        <v>8</v>
      </c>
      <c r="G722">
        <v>6.2167543908581138</v>
      </c>
      <c r="H722" t="s">
        <v>506</v>
      </c>
      <c r="I722" t="s">
        <v>49</v>
      </c>
      <c r="J722">
        <v>0</v>
      </c>
      <c r="K722">
        <v>93</v>
      </c>
      <c r="L722" t="s">
        <v>495</v>
      </c>
      <c r="M722">
        <v>2843</v>
      </c>
      <c r="N722">
        <v>6.2518472978845239</v>
      </c>
      <c r="O722">
        <v>7.7393515845760703</v>
      </c>
      <c r="P722">
        <v>4.4373698756098747</v>
      </c>
      <c r="Q722">
        <v>12.129130657762291</v>
      </c>
      <c r="R722">
        <v>2</v>
      </c>
      <c r="S722" t="s">
        <v>437</v>
      </c>
      <c r="T722">
        <v>2017</v>
      </c>
      <c r="U722" s="1">
        <v>45901.600802198707</v>
      </c>
      <c r="V722" t="s">
        <v>32</v>
      </c>
      <c r="W722" t="s">
        <v>97</v>
      </c>
      <c r="X722">
        <v>1.2920979090715079</v>
      </c>
      <c r="Y722">
        <v>1.286845111938826</v>
      </c>
      <c r="Z722">
        <v>2.2606484154239301</v>
      </c>
      <c r="AA722">
        <v>2.9440731621526561</v>
      </c>
      <c r="AB722">
        <v>0.24500233647972081</v>
      </c>
    </row>
    <row r="723" spans="1:28" x14ac:dyDescent="0.25">
      <c r="A723">
        <v>4</v>
      </c>
      <c r="B723">
        <v>36</v>
      </c>
      <c r="C723">
        <v>10</v>
      </c>
      <c r="D723">
        <v>1473</v>
      </c>
      <c r="E723">
        <v>63</v>
      </c>
      <c r="F723">
        <v>10</v>
      </c>
      <c r="G723">
        <v>8.0402634553611279</v>
      </c>
      <c r="H723" t="s">
        <v>507</v>
      </c>
      <c r="I723" t="s">
        <v>35</v>
      </c>
      <c r="J723">
        <v>0</v>
      </c>
      <c r="K723">
        <v>100</v>
      </c>
      <c r="L723" t="s">
        <v>449</v>
      </c>
      <c r="M723">
        <v>2846</v>
      </c>
      <c r="N723">
        <v>7.0082551492378116</v>
      </c>
      <c r="O723">
        <v>9.5627805106341839</v>
      </c>
      <c r="P723">
        <v>3.6166652720421548</v>
      </c>
      <c r="Q723">
        <v>14.3145207632333</v>
      </c>
      <c r="R723">
        <v>1</v>
      </c>
      <c r="S723" t="s">
        <v>437</v>
      </c>
      <c r="T723">
        <v>2017</v>
      </c>
      <c r="U723" s="1">
        <v>45901.600802198707</v>
      </c>
      <c r="V723" t="s">
        <v>32</v>
      </c>
      <c r="W723" t="s">
        <v>97</v>
      </c>
      <c r="X723">
        <v>1.0457209583425671</v>
      </c>
      <c r="Y723">
        <v>1.2437403395447379</v>
      </c>
      <c r="Z723">
        <v>0.43721948936581612</v>
      </c>
      <c r="AA723">
        <v>3.1623330990864371</v>
      </c>
      <c r="AB723">
        <v>0.30240697328077182</v>
      </c>
    </row>
    <row r="724" spans="1:28" x14ac:dyDescent="0.25">
      <c r="A724">
        <v>2</v>
      </c>
      <c r="B724">
        <v>28</v>
      </c>
      <c r="C724">
        <v>10</v>
      </c>
      <c r="D724">
        <v>4918</v>
      </c>
      <c r="E724">
        <v>14</v>
      </c>
      <c r="F724">
        <v>10</v>
      </c>
      <c r="G724">
        <v>8.8694409616291523</v>
      </c>
      <c r="H724" t="s">
        <v>508</v>
      </c>
      <c r="I724" t="s">
        <v>29</v>
      </c>
      <c r="J724">
        <v>0</v>
      </c>
      <c r="K724">
        <v>45</v>
      </c>
      <c r="L724" t="s">
        <v>445</v>
      </c>
      <c r="M724">
        <v>1520</v>
      </c>
      <c r="N724">
        <v>0.91252640634775162</v>
      </c>
      <c r="O724">
        <v>8.8694409616291523</v>
      </c>
      <c r="P724">
        <v>2.3943278845399618</v>
      </c>
      <c r="Q724">
        <v>9.7334532141685486</v>
      </c>
      <c r="R724">
        <v>3</v>
      </c>
      <c r="S724" t="s">
        <v>437</v>
      </c>
      <c r="T724">
        <v>2017</v>
      </c>
      <c r="U724" s="1">
        <v>45901.600802198707</v>
      </c>
      <c r="V724" t="s">
        <v>32</v>
      </c>
      <c r="W724" t="s">
        <v>97</v>
      </c>
      <c r="X724">
        <v>1.1274667753313721</v>
      </c>
      <c r="Y724">
        <v>1.1274667753313721</v>
      </c>
      <c r="Z724">
        <v>1.1305590383708479</v>
      </c>
      <c r="AA724">
        <v>2.6644736842105261</v>
      </c>
      <c r="AB724">
        <v>0.52516426746488409</v>
      </c>
    </row>
    <row r="725" spans="1:28" x14ac:dyDescent="0.25">
      <c r="A725">
        <v>8</v>
      </c>
      <c r="B725">
        <v>37</v>
      </c>
      <c r="C725">
        <v>26</v>
      </c>
      <c r="D725">
        <v>1230</v>
      </c>
      <c r="E725">
        <v>37</v>
      </c>
      <c r="F725">
        <v>17</v>
      </c>
      <c r="G725">
        <v>16.319021896459159</v>
      </c>
      <c r="H725" t="s">
        <v>454</v>
      </c>
      <c r="I725" t="s">
        <v>32</v>
      </c>
      <c r="J725">
        <v>0</v>
      </c>
      <c r="K725">
        <v>140</v>
      </c>
      <c r="L725" t="s">
        <v>487</v>
      </c>
      <c r="M725">
        <v>3224</v>
      </c>
      <c r="N725">
        <v>4.5799700245261192</v>
      </c>
      <c r="O725">
        <v>23.931939975358539</v>
      </c>
      <c r="P725">
        <v>3.6636939216405149</v>
      </c>
      <c r="Q725">
        <v>20.194036974571649</v>
      </c>
      <c r="R725">
        <v>1</v>
      </c>
      <c r="S725" t="s">
        <v>437</v>
      </c>
      <c r="T725">
        <v>2018</v>
      </c>
      <c r="U725" s="1">
        <v>45901.600802198707</v>
      </c>
      <c r="V725" t="s">
        <v>32</v>
      </c>
      <c r="W725" t="s">
        <v>107</v>
      </c>
      <c r="X725">
        <v>1.08641422411935</v>
      </c>
      <c r="Y725">
        <v>1.0417291004241249</v>
      </c>
      <c r="Z725">
        <v>2.0680600246414582</v>
      </c>
      <c r="AA725">
        <v>3.9081885856079399</v>
      </c>
      <c r="AB725">
        <v>0.66807524745107594</v>
      </c>
    </row>
    <row r="726" spans="1:28" x14ac:dyDescent="0.25">
      <c r="A726">
        <v>7</v>
      </c>
      <c r="B726">
        <v>37</v>
      </c>
      <c r="C726">
        <v>23</v>
      </c>
      <c r="D726">
        <v>1148</v>
      </c>
      <c r="E726">
        <v>65</v>
      </c>
      <c r="F726">
        <v>22</v>
      </c>
      <c r="G726">
        <v>18.96448469534516</v>
      </c>
      <c r="H726" t="s">
        <v>496</v>
      </c>
      <c r="I726" t="s">
        <v>29</v>
      </c>
      <c r="J726">
        <v>0</v>
      </c>
      <c r="K726">
        <v>118</v>
      </c>
      <c r="L726" t="s">
        <v>482</v>
      </c>
      <c r="M726">
        <v>2908</v>
      </c>
      <c r="N726">
        <v>10.12657307181507</v>
      </c>
      <c r="O726">
        <v>20.487084690481421</v>
      </c>
      <c r="P726">
        <v>7.8004702311009169</v>
      </c>
      <c r="Q726">
        <v>30.310310785658661</v>
      </c>
      <c r="R726">
        <v>5</v>
      </c>
      <c r="S726" t="s">
        <v>437</v>
      </c>
      <c r="T726">
        <v>2018</v>
      </c>
      <c r="U726" s="1">
        <v>45901.600802198707</v>
      </c>
      <c r="V726" t="s">
        <v>32</v>
      </c>
      <c r="W726" t="s">
        <v>107</v>
      </c>
      <c r="X726">
        <v>1.122658511324752</v>
      </c>
      <c r="Y726">
        <v>1.160063157708678</v>
      </c>
      <c r="Z726">
        <v>2.5129153095185761</v>
      </c>
      <c r="AA726">
        <v>3.6519944979367258</v>
      </c>
      <c r="AB726">
        <v>0.63405695396950768</v>
      </c>
    </row>
    <row r="727" spans="1:28" x14ac:dyDescent="0.25">
      <c r="A727">
        <v>0</v>
      </c>
      <c r="B727">
        <v>37</v>
      </c>
      <c r="C727">
        <v>22</v>
      </c>
      <c r="D727">
        <v>7090</v>
      </c>
      <c r="E727">
        <v>29</v>
      </c>
      <c r="F727">
        <v>20</v>
      </c>
      <c r="G727">
        <v>16.245789639651779</v>
      </c>
      <c r="H727" t="s">
        <v>509</v>
      </c>
      <c r="I727" t="s">
        <v>29</v>
      </c>
      <c r="J727">
        <v>0</v>
      </c>
      <c r="K727">
        <v>119</v>
      </c>
      <c r="L727" t="s">
        <v>510</v>
      </c>
      <c r="M727">
        <v>2974</v>
      </c>
      <c r="N727">
        <v>3.0655604163184762</v>
      </c>
      <c r="O727">
        <v>17.768344588577751</v>
      </c>
      <c r="P727">
        <v>4.0170139726251364</v>
      </c>
      <c r="Q727">
        <v>19.647546321153641</v>
      </c>
      <c r="R727">
        <v>5</v>
      </c>
      <c r="S727" t="s">
        <v>437</v>
      </c>
      <c r="T727">
        <v>2018</v>
      </c>
      <c r="U727" s="1">
        <v>45901.600802198707</v>
      </c>
      <c r="V727" t="s">
        <v>32</v>
      </c>
      <c r="W727" t="s">
        <v>107</v>
      </c>
      <c r="X727">
        <v>1.2381569870128779</v>
      </c>
      <c r="Y727">
        <v>1.231088204613038</v>
      </c>
      <c r="Z727">
        <v>4.2316554114222527</v>
      </c>
      <c r="AA727">
        <v>3.6012104909213178</v>
      </c>
      <c r="AB727">
        <v>0.53771049528311943</v>
      </c>
    </row>
    <row r="728" spans="1:28" x14ac:dyDescent="0.25">
      <c r="A728">
        <v>8</v>
      </c>
      <c r="B728">
        <v>31</v>
      </c>
      <c r="C728">
        <v>21</v>
      </c>
      <c r="D728">
        <v>2371</v>
      </c>
      <c r="E728">
        <v>48</v>
      </c>
      <c r="F728">
        <v>16</v>
      </c>
      <c r="G728">
        <v>18.75629765167832</v>
      </c>
      <c r="H728" t="s">
        <v>139</v>
      </c>
      <c r="I728" t="s">
        <v>35</v>
      </c>
      <c r="J728">
        <v>0</v>
      </c>
      <c r="K728">
        <v>175</v>
      </c>
      <c r="L728" t="s">
        <v>441</v>
      </c>
      <c r="M728">
        <v>2692</v>
      </c>
      <c r="N728">
        <v>5.1938747484236956</v>
      </c>
      <c r="O728">
        <v>23.324054691940539</v>
      </c>
      <c r="P728">
        <v>7.177340604364872</v>
      </c>
      <c r="Q728">
        <v>21.85416362062097</v>
      </c>
      <c r="R728">
        <v>3</v>
      </c>
      <c r="S728" t="s">
        <v>437</v>
      </c>
      <c r="T728">
        <v>2018</v>
      </c>
      <c r="U728" s="1">
        <v>45901.600802198707</v>
      </c>
      <c r="V728" t="s">
        <v>32</v>
      </c>
      <c r="W728" t="s">
        <v>107</v>
      </c>
      <c r="X728">
        <v>0.90035803282764537</v>
      </c>
      <c r="Y728">
        <v>0.8530468164418531</v>
      </c>
      <c r="Z728">
        <v>-2.324054691940542</v>
      </c>
      <c r="AA728">
        <v>5.8506686478454686</v>
      </c>
      <c r="AB728">
        <v>0.77977894586725438</v>
      </c>
    </row>
    <row r="729" spans="1:28" x14ac:dyDescent="0.25">
      <c r="A729">
        <v>3</v>
      </c>
      <c r="B729">
        <v>35</v>
      </c>
      <c r="C729">
        <v>17</v>
      </c>
      <c r="D729">
        <v>1583</v>
      </c>
      <c r="E729">
        <v>37</v>
      </c>
      <c r="F729">
        <v>17</v>
      </c>
      <c r="G729">
        <v>14.07837403193116</v>
      </c>
      <c r="H729" t="s">
        <v>511</v>
      </c>
      <c r="I729" t="s">
        <v>29</v>
      </c>
      <c r="J729">
        <v>0</v>
      </c>
      <c r="K729">
        <v>111</v>
      </c>
      <c r="L729" t="s">
        <v>443</v>
      </c>
      <c r="M729">
        <v>2403</v>
      </c>
      <c r="N729">
        <v>3.235570015385747</v>
      </c>
      <c r="O729">
        <v>14.07837403193116</v>
      </c>
      <c r="P729">
        <v>5.6981759015470743</v>
      </c>
      <c r="Q729">
        <v>19.81095814704895</v>
      </c>
      <c r="R729">
        <v>4</v>
      </c>
      <c r="S729" t="s">
        <v>437</v>
      </c>
      <c r="T729">
        <v>2018</v>
      </c>
      <c r="U729" s="1">
        <v>45901.600802198707</v>
      </c>
      <c r="V729" t="s">
        <v>32</v>
      </c>
      <c r="W729" t="s">
        <v>107</v>
      </c>
      <c r="X729">
        <v>1.207525809546067</v>
      </c>
      <c r="Y729">
        <v>1.207525809546067</v>
      </c>
      <c r="Z729">
        <v>2.9216259680688381</v>
      </c>
      <c r="AA729">
        <v>4.1573033707865168</v>
      </c>
      <c r="AB729">
        <v>0.52727992628955667</v>
      </c>
    </row>
    <row r="730" spans="1:28" x14ac:dyDescent="0.25">
      <c r="A730">
        <v>1</v>
      </c>
      <c r="B730">
        <v>32</v>
      </c>
      <c r="C730">
        <v>16</v>
      </c>
      <c r="D730">
        <v>1104</v>
      </c>
      <c r="E730">
        <v>24</v>
      </c>
      <c r="F730">
        <v>16</v>
      </c>
      <c r="G730">
        <v>12.38432681933045</v>
      </c>
      <c r="H730" t="s">
        <v>466</v>
      </c>
      <c r="I730" t="s">
        <v>29</v>
      </c>
      <c r="J730">
        <v>0</v>
      </c>
      <c r="K730">
        <v>85</v>
      </c>
      <c r="L730" t="s">
        <v>480</v>
      </c>
      <c r="M730">
        <v>2748</v>
      </c>
      <c r="N730">
        <v>1.575844119302928</v>
      </c>
      <c r="O730">
        <v>12.38432681933045</v>
      </c>
      <c r="P730">
        <v>2.6143847163766618</v>
      </c>
      <c r="Q730">
        <v>10.769815733656291</v>
      </c>
      <c r="R730">
        <v>6</v>
      </c>
      <c r="S730" t="s">
        <v>437</v>
      </c>
      <c r="T730">
        <v>2018</v>
      </c>
      <c r="U730" s="1">
        <v>45901.600802198707</v>
      </c>
      <c r="V730" t="s">
        <v>32</v>
      </c>
      <c r="W730" t="s">
        <v>107</v>
      </c>
      <c r="X730">
        <v>1.291955568794092</v>
      </c>
      <c r="Y730">
        <v>1.291955568794092</v>
      </c>
      <c r="Z730">
        <v>3.6156731806695461</v>
      </c>
      <c r="AA730">
        <v>2.783842794759825</v>
      </c>
      <c r="AB730">
        <v>0.40560022334051699</v>
      </c>
    </row>
    <row r="731" spans="1:28" x14ac:dyDescent="0.25">
      <c r="A731">
        <v>11</v>
      </c>
      <c r="B731">
        <v>35</v>
      </c>
      <c r="C731">
        <v>16</v>
      </c>
      <c r="D731">
        <v>1384</v>
      </c>
      <c r="E731">
        <v>70</v>
      </c>
      <c r="F731">
        <v>15</v>
      </c>
      <c r="G731">
        <v>11.614489169791341</v>
      </c>
      <c r="H731" t="s">
        <v>476</v>
      </c>
      <c r="I731" t="s">
        <v>29</v>
      </c>
      <c r="J731">
        <v>0</v>
      </c>
      <c r="K731">
        <v>89</v>
      </c>
      <c r="L731" t="s">
        <v>443</v>
      </c>
      <c r="M731">
        <v>2245</v>
      </c>
      <c r="N731">
        <v>9.3948792312294245</v>
      </c>
      <c r="O731">
        <v>12.375787785276771</v>
      </c>
      <c r="P731">
        <v>8.040113627910614</v>
      </c>
      <c r="Q731">
        <v>24.529846111312509</v>
      </c>
      <c r="R731">
        <v>1</v>
      </c>
      <c r="S731" t="s">
        <v>437</v>
      </c>
      <c r="T731">
        <v>2018</v>
      </c>
      <c r="U731" s="1">
        <v>45901.600802198707</v>
      </c>
      <c r="V731" t="s">
        <v>32</v>
      </c>
      <c r="W731" t="s">
        <v>107</v>
      </c>
      <c r="X731">
        <v>1.292846991044472</v>
      </c>
      <c r="Y731">
        <v>1.2914902911971531</v>
      </c>
      <c r="Z731">
        <v>3.624212214723229</v>
      </c>
      <c r="AA731">
        <v>3.56792873051225</v>
      </c>
      <c r="AB731">
        <v>0.49613403148102869</v>
      </c>
    </row>
    <row r="732" spans="1:28" x14ac:dyDescent="0.25">
      <c r="A732">
        <v>1</v>
      </c>
      <c r="B732">
        <v>36</v>
      </c>
      <c r="C732">
        <v>16</v>
      </c>
      <c r="D732">
        <v>1493</v>
      </c>
      <c r="E732">
        <v>28</v>
      </c>
      <c r="F732">
        <v>10</v>
      </c>
      <c r="G732">
        <v>10.21395670622587</v>
      </c>
      <c r="H732" t="s">
        <v>512</v>
      </c>
      <c r="I732" t="s">
        <v>29</v>
      </c>
      <c r="J732">
        <v>0</v>
      </c>
      <c r="K732">
        <v>90</v>
      </c>
      <c r="L732" t="s">
        <v>505</v>
      </c>
      <c r="M732">
        <v>3060</v>
      </c>
      <c r="N732">
        <v>2.0103456662036479</v>
      </c>
      <c r="O732">
        <v>14.78155250474811</v>
      </c>
      <c r="P732">
        <v>2.6781292445957661</v>
      </c>
      <c r="Q732">
        <v>10.56121488660574</v>
      </c>
      <c r="R732">
        <v>8</v>
      </c>
      <c r="S732" t="s">
        <v>437</v>
      </c>
      <c r="T732">
        <v>2018</v>
      </c>
      <c r="U732" s="1">
        <v>45901.600802198707</v>
      </c>
      <c r="V732" t="s">
        <v>32</v>
      </c>
      <c r="W732" t="s">
        <v>107</v>
      </c>
      <c r="X732">
        <v>1.0824302788804161</v>
      </c>
      <c r="Y732">
        <v>0.97905251486963363</v>
      </c>
      <c r="Z732">
        <v>1.218447495251894</v>
      </c>
      <c r="AA732">
        <v>2.6470588235294121</v>
      </c>
      <c r="AB732">
        <v>0.43475154425729717</v>
      </c>
    </row>
    <row r="733" spans="1:28" x14ac:dyDescent="0.25">
      <c r="A733">
        <v>3</v>
      </c>
      <c r="B733">
        <v>38</v>
      </c>
      <c r="C733">
        <v>16</v>
      </c>
      <c r="D733">
        <v>6980</v>
      </c>
      <c r="E733">
        <v>45</v>
      </c>
      <c r="F733">
        <v>13</v>
      </c>
      <c r="G733">
        <v>13.78989796154201</v>
      </c>
      <c r="H733" t="s">
        <v>513</v>
      </c>
      <c r="I733" t="s">
        <v>32</v>
      </c>
      <c r="J733">
        <v>0</v>
      </c>
      <c r="K733">
        <v>96</v>
      </c>
      <c r="L733" t="s">
        <v>463</v>
      </c>
      <c r="M733">
        <v>3420</v>
      </c>
      <c r="N733">
        <v>5.1760075753554702</v>
      </c>
      <c r="O733">
        <v>18.357625110074881</v>
      </c>
      <c r="P733">
        <v>6.7380534317344427</v>
      </c>
      <c r="Q733">
        <v>21.864730253815651</v>
      </c>
      <c r="R733">
        <v>3</v>
      </c>
      <c r="S733" t="s">
        <v>437</v>
      </c>
      <c r="T733">
        <v>2018</v>
      </c>
      <c r="U733" s="1">
        <v>45901.600802198707</v>
      </c>
      <c r="V733" t="s">
        <v>32</v>
      </c>
      <c r="W733" t="s">
        <v>107</v>
      </c>
      <c r="X733">
        <v>0.87157243401920281</v>
      </c>
      <c r="Y733">
        <v>0.94271908583044495</v>
      </c>
      <c r="Z733">
        <v>-2.3576251100748808</v>
      </c>
      <c r="AA733">
        <v>2.5263157894736841</v>
      </c>
      <c r="AB733">
        <v>0.48309539763354947</v>
      </c>
    </row>
    <row r="734" spans="1:28" x14ac:dyDescent="0.25">
      <c r="A734">
        <v>3</v>
      </c>
      <c r="B734">
        <v>37</v>
      </c>
      <c r="C734">
        <v>15</v>
      </c>
      <c r="D734">
        <v>1186</v>
      </c>
      <c r="E734">
        <v>35</v>
      </c>
      <c r="F734">
        <v>10</v>
      </c>
      <c r="G734">
        <v>12.43767638504505</v>
      </c>
      <c r="H734" t="s">
        <v>470</v>
      </c>
      <c r="I734" t="s">
        <v>32</v>
      </c>
      <c r="J734">
        <v>0</v>
      </c>
      <c r="K734">
        <v>125</v>
      </c>
      <c r="L734" t="s">
        <v>455</v>
      </c>
      <c r="M734">
        <v>3304</v>
      </c>
      <c r="N734">
        <v>4.3100587744265804</v>
      </c>
      <c r="O734">
        <v>17.005221292376518</v>
      </c>
      <c r="P734">
        <v>3.1202728999778628</v>
      </c>
      <c r="Q734">
        <v>16.587280172854658</v>
      </c>
      <c r="R734">
        <v>5</v>
      </c>
      <c r="S734" t="s">
        <v>437</v>
      </c>
      <c r="T734">
        <v>2018</v>
      </c>
      <c r="U734" s="1">
        <v>45901.600802198707</v>
      </c>
      <c r="V734" t="s">
        <v>32</v>
      </c>
      <c r="W734" t="s">
        <v>107</v>
      </c>
      <c r="X734">
        <v>0.88208202305044603</v>
      </c>
      <c r="Y734">
        <v>0.80400869828257537</v>
      </c>
      <c r="Z734">
        <v>-2.0052212923765178</v>
      </c>
      <c r="AA734">
        <v>3.404963680387409</v>
      </c>
      <c r="AB734">
        <v>0.46321728701994153</v>
      </c>
    </row>
    <row r="735" spans="1:28" x14ac:dyDescent="0.25">
      <c r="A735">
        <v>6</v>
      </c>
      <c r="B735">
        <v>36</v>
      </c>
      <c r="C735">
        <v>15</v>
      </c>
      <c r="D735">
        <v>1209</v>
      </c>
      <c r="E735">
        <v>55</v>
      </c>
      <c r="F735">
        <v>11</v>
      </c>
      <c r="G735">
        <v>13.085286818444731</v>
      </c>
      <c r="H735" t="s">
        <v>477</v>
      </c>
      <c r="I735" t="s">
        <v>29</v>
      </c>
      <c r="J735">
        <v>0</v>
      </c>
      <c r="K735">
        <v>124</v>
      </c>
      <c r="L735" t="s">
        <v>459</v>
      </c>
      <c r="M735">
        <v>2862</v>
      </c>
      <c r="N735">
        <v>6.4798102062195539</v>
      </c>
      <c r="O735">
        <v>16.13043882697821</v>
      </c>
      <c r="P735">
        <v>8.138659774325788</v>
      </c>
      <c r="Q735">
        <v>24.194292444735769</v>
      </c>
      <c r="R735">
        <v>6</v>
      </c>
      <c r="S735" t="s">
        <v>437</v>
      </c>
      <c r="T735">
        <v>2018</v>
      </c>
      <c r="U735" s="1">
        <v>45901.600802198707</v>
      </c>
      <c r="V735" t="s">
        <v>32</v>
      </c>
      <c r="W735" t="s">
        <v>107</v>
      </c>
      <c r="X735">
        <v>0.92991890430857072</v>
      </c>
      <c r="Y735">
        <v>0.84063881461846479</v>
      </c>
      <c r="Z735">
        <v>-1.1304388269782071</v>
      </c>
      <c r="AA735">
        <v>3.89937106918239</v>
      </c>
      <c r="AB735">
        <v>0.5072465039930254</v>
      </c>
    </row>
    <row r="736" spans="1:28" x14ac:dyDescent="0.25">
      <c r="A736">
        <v>7</v>
      </c>
      <c r="B736">
        <v>31</v>
      </c>
      <c r="C736">
        <v>12</v>
      </c>
      <c r="D736">
        <v>1426</v>
      </c>
      <c r="E736">
        <v>65</v>
      </c>
      <c r="F736">
        <v>12</v>
      </c>
      <c r="G736">
        <v>10.003855811432</v>
      </c>
      <c r="H736" t="s">
        <v>503</v>
      </c>
      <c r="I736" t="s">
        <v>35</v>
      </c>
      <c r="J736">
        <v>1</v>
      </c>
      <c r="K736">
        <v>101</v>
      </c>
      <c r="L736" t="s">
        <v>482</v>
      </c>
      <c r="M736">
        <v>2156</v>
      </c>
      <c r="N736">
        <v>7.9205589052289724</v>
      </c>
      <c r="O736">
        <v>10.765154892578719</v>
      </c>
      <c r="P736">
        <v>11.476230746135119</v>
      </c>
      <c r="Q736">
        <v>24.51981504261494</v>
      </c>
      <c r="R736">
        <v>5</v>
      </c>
      <c r="S736" t="s">
        <v>437</v>
      </c>
      <c r="T736">
        <v>2018</v>
      </c>
      <c r="U736" s="1">
        <v>45901.600802198707</v>
      </c>
      <c r="V736" t="s">
        <v>32</v>
      </c>
      <c r="W736" t="s">
        <v>107</v>
      </c>
      <c r="X736">
        <v>1.114707602421267</v>
      </c>
      <c r="Y736">
        <v>1.1995374809667769</v>
      </c>
      <c r="Z736">
        <v>1.234845107421281</v>
      </c>
      <c r="AA736">
        <v>4.216141001855287</v>
      </c>
      <c r="AB736">
        <v>0.44938030627647718</v>
      </c>
    </row>
    <row r="737" spans="1:28" x14ac:dyDescent="0.25">
      <c r="A737">
        <v>3</v>
      </c>
      <c r="B737">
        <v>28</v>
      </c>
      <c r="C737">
        <v>11</v>
      </c>
      <c r="D737">
        <v>1252</v>
      </c>
      <c r="E737">
        <v>37</v>
      </c>
      <c r="F737">
        <v>11</v>
      </c>
      <c r="G737">
        <v>8.618938097730279</v>
      </c>
      <c r="H737" t="s">
        <v>514</v>
      </c>
      <c r="I737" t="s">
        <v>35</v>
      </c>
      <c r="J737">
        <v>0</v>
      </c>
      <c r="K737">
        <v>70</v>
      </c>
      <c r="L737" t="s">
        <v>467</v>
      </c>
      <c r="M737">
        <v>2115</v>
      </c>
      <c r="N737">
        <v>5.5023613404482603</v>
      </c>
      <c r="O737">
        <v>8.618938097730279</v>
      </c>
      <c r="P737">
        <v>5.880335396155715</v>
      </c>
      <c r="Q737">
        <v>17.380671296268702</v>
      </c>
      <c r="R737">
        <v>2</v>
      </c>
      <c r="S737" t="s">
        <v>437</v>
      </c>
      <c r="T737">
        <v>2018</v>
      </c>
      <c r="U737" s="1">
        <v>45901.600802198707</v>
      </c>
      <c r="V737" t="s">
        <v>32</v>
      </c>
      <c r="W737" t="s">
        <v>107</v>
      </c>
      <c r="X737">
        <v>1.2762593112133791</v>
      </c>
      <c r="Y737">
        <v>1.2762593112133791</v>
      </c>
      <c r="Z737">
        <v>2.381061902269721</v>
      </c>
      <c r="AA737">
        <v>2.978723404255319</v>
      </c>
      <c r="AB737">
        <v>0.36676332330767147</v>
      </c>
    </row>
    <row r="738" spans="1:28" x14ac:dyDescent="0.25">
      <c r="A738">
        <v>3</v>
      </c>
      <c r="B738">
        <v>36</v>
      </c>
      <c r="C738">
        <v>11</v>
      </c>
      <c r="D738">
        <v>1468</v>
      </c>
      <c r="E738">
        <v>25</v>
      </c>
      <c r="F738">
        <v>11</v>
      </c>
      <c r="G738">
        <v>8.6297909105196595</v>
      </c>
      <c r="H738" t="s">
        <v>488</v>
      </c>
      <c r="I738" t="s">
        <v>35</v>
      </c>
      <c r="J738">
        <v>0</v>
      </c>
      <c r="K738">
        <v>47</v>
      </c>
      <c r="L738" t="s">
        <v>487</v>
      </c>
      <c r="M738">
        <v>2339</v>
      </c>
      <c r="N738">
        <v>3.1572981104254718</v>
      </c>
      <c r="O738">
        <v>8.6297909105196595</v>
      </c>
      <c r="P738">
        <v>6.4105212483555079</v>
      </c>
      <c r="Q738">
        <v>17.140589024871591</v>
      </c>
      <c r="R738">
        <v>2</v>
      </c>
      <c r="S738" t="s">
        <v>437</v>
      </c>
      <c r="T738">
        <v>2018</v>
      </c>
      <c r="U738" s="1">
        <v>45901.600802198707</v>
      </c>
      <c r="V738" t="s">
        <v>32</v>
      </c>
      <c r="W738" t="s">
        <v>107</v>
      </c>
      <c r="X738">
        <v>1.2746542893166819</v>
      </c>
      <c r="Y738">
        <v>1.2746542893166819</v>
      </c>
      <c r="Z738">
        <v>2.37020908948034</v>
      </c>
      <c r="AA738">
        <v>1.8084651560495939</v>
      </c>
      <c r="AB738">
        <v>0.33205693969507027</v>
      </c>
    </row>
    <row r="739" spans="1:28" x14ac:dyDescent="0.25">
      <c r="A739">
        <v>4</v>
      </c>
      <c r="B739">
        <v>29</v>
      </c>
      <c r="C739">
        <v>11</v>
      </c>
      <c r="D739">
        <v>1513</v>
      </c>
      <c r="E739">
        <v>34</v>
      </c>
      <c r="F739">
        <v>6</v>
      </c>
      <c r="G739">
        <v>10.65886098891497</v>
      </c>
      <c r="H739" t="s">
        <v>435</v>
      </c>
      <c r="I739" t="s">
        <v>29</v>
      </c>
      <c r="J739">
        <v>0</v>
      </c>
      <c r="K739">
        <v>74</v>
      </c>
      <c r="L739" t="s">
        <v>436</v>
      </c>
      <c r="M739">
        <v>2266</v>
      </c>
      <c r="N739">
        <v>3.9040679335594182</v>
      </c>
      <c r="O739">
        <v>15.22649715840816</v>
      </c>
      <c r="P739">
        <v>2.4658669782802458</v>
      </c>
      <c r="Q739">
        <v>15.77519129961729</v>
      </c>
      <c r="R739">
        <v>0</v>
      </c>
      <c r="S739" t="s">
        <v>437</v>
      </c>
      <c r="T739">
        <v>2018</v>
      </c>
      <c r="U739" s="1">
        <v>45901.600802198707</v>
      </c>
      <c r="V739" t="s">
        <v>32</v>
      </c>
      <c r="W739" t="s">
        <v>107</v>
      </c>
      <c r="X739">
        <v>0.72242485488041053</v>
      </c>
      <c r="Y739">
        <v>0.56291192898001918</v>
      </c>
      <c r="Z739">
        <v>-4.2264971584081632</v>
      </c>
      <c r="AA739">
        <v>2.93909973521624</v>
      </c>
      <c r="AB739">
        <v>0.60475937522362522</v>
      </c>
    </row>
    <row r="740" spans="1:28" x14ac:dyDescent="0.25">
      <c r="A740">
        <v>2</v>
      </c>
      <c r="B740">
        <v>30</v>
      </c>
      <c r="C740">
        <v>11</v>
      </c>
      <c r="D740">
        <v>1943</v>
      </c>
      <c r="E740">
        <v>22</v>
      </c>
      <c r="F740">
        <v>11</v>
      </c>
      <c r="G740">
        <v>7.6718157231807709</v>
      </c>
      <c r="H740" t="s">
        <v>515</v>
      </c>
      <c r="I740" t="s">
        <v>29</v>
      </c>
      <c r="J740">
        <v>0</v>
      </c>
      <c r="K740">
        <v>44</v>
      </c>
      <c r="L740" t="s">
        <v>516</v>
      </c>
      <c r="M740">
        <v>2312</v>
      </c>
      <c r="N740">
        <v>4.0188678205013284</v>
      </c>
      <c r="O740">
        <v>7.6718157231807709</v>
      </c>
      <c r="P740">
        <v>3.9990351814776659</v>
      </c>
      <c r="Q740">
        <v>13.20735166966915</v>
      </c>
      <c r="R740">
        <v>3</v>
      </c>
      <c r="S740" t="s">
        <v>437</v>
      </c>
      <c r="T740">
        <v>2018</v>
      </c>
      <c r="U740" s="1">
        <v>45901.600802198707</v>
      </c>
      <c r="V740" t="s">
        <v>32</v>
      </c>
      <c r="W740" t="s">
        <v>107</v>
      </c>
      <c r="X740">
        <v>1.433819632393275</v>
      </c>
      <c r="Y740">
        <v>1.433819632393275</v>
      </c>
      <c r="Z740">
        <v>3.3281842768192291</v>
      </c>
      <c r="AA740">
        <v>1.71280276816609</v>
      </c>
      <c r="AB740">
        <v>0.29864334562554912</v>
      </c>
    </row>
    <row r="741" spans="1:28" x14ac:dyDescent="0.25">
      <c r="A741">
        <v>6</v>
      </c>
      <c r="B741">
        <v>28</v>
      </c>
      <c r="C741">
        <v>10</v>
      </c>
      <c r="D741">
        <v>1393</v>
      </c>
      <c r="E741">
        <v>64</v>
      </c>
      <c r="F741">
        <v>9</v>
      </c>
      <c r="G741">
        <v>8.9015600588172674</v>
      </c>
      <c r="H741" t="s">
        <v>471</v>
      </c>
      <c r="I741" t="s">
        <v>35</v>
      </c>
      <c r="J741">
        <v>1</v>
      </c>
      <c r="K741">
        <v>120</v>
      </c>
      <c r="L741" t="s">
        <v>443</v>
      </c>
      <c r="M741">
        <v>2081</v>
      </c>
      <c r="N741">
        <v>5.1223492901772261</v>
      </c>
      <c r="O741">
        <v>10.42411703430116</v>
      </c>
      <c r="P741">
        <v>7.5033295936882496</v>
      </c>
      <c r="Q741">
        <v>19.24692364782095</v>
      </c>
      <c r="R741">
        <v>6</v>
      </c>
      <c r="S741" t="s">
        <v>437</v>
      </c>
      <c r="T741">
        <v>2018</v>
      </c>
      <c r="U741" s="1">
        <v>45901.600802198707</v>
      </c>
      <c r="V741" t="s">
        <v>32</v>
      </c>
      <c r="W741" t="s">
        <v>107</v>
      </c>
      <c r="X741">
        <v>0.95931386486686787</v>
      </c>
      <c r="Y741">
        <v>1.011058729091562</v>
      </c>
      <c r="Z741">
        <v>-0.42411703430116182</v>
      </c>
      <c r="AA741">
        <v>5.1898125901009129</v>
      </c>
      <c r="AB741">
        <v>0.45082678187751302</v>
      </c>
    </row>
    <row r="742" spans="1:28" x14ac:dyDescent="0.25">
      <c r="A742">
        <v>9</v>
      </c>
      <c r="B742">
        <v>37</v>
      </c>
      <c r="C742">
        <v>36</v>
      </c>
      <c r="D742">
        <v>1209</v>
      </c>
      <c r="E742">
        <v>59</v>
      </c>
      <c r="F742">
        <v>22</v>
      </c>
      <c r="G742">
        <v>16.689363062381741</v>
      </c>
      <c r="H742" t="s">
        <v>477</v>
      </c>
      <c r="I742" t="s">
        <v>29</v>
      </c>
      <c r="J742">
        <v>0</v>
      </c>
      <c r="K742">
        <v>142</v>
      </c>
      <c r="L742" t="s">
        <v>459</v>
      </c>
      <c r="M742">
        <v>3179</v>
      </c>
      <c r="N742">
        <v>5.7326974906027317</v>
      </c>
      <c r="O742">
        <v>28.108765430748459</v>
      </c>
      <c r="P742">
        <v>3.7399279307574029</v>
      </c>
      <c r="Q742">
        <v>23.458132199943069</v>
      </c>
      <c r="R742">
        <v>8</v>
      </c>
      <c r="S742" t="s">
        <v>437</v>
      </c>
      <c r="T742">
        <v>2019</v>
      </c>
      <c r="U742" s="1">
        <v>45901.600802198707</v>
      </c>
      <c r="V742" t="s">
        <v>32</v>
      </c>
      <c r="W742" t="s">
        <v>122</v>
      </c>
      <c r="X742">
        <v>1.2807392800190089</v>
      </c>
      <c r="Y742">
        <v>1.318204890010966</v>
      </c>
      <c r="Z742">
        <v>7.8912345692515373</v>
      </c>
      <c r="AA742">
        <v>4.0201321170179298</v>
      </c>
      <c r="AB742">
        <v>0.79578134280193813</v>
      </c>
    </row>
    <row r="743" spans="1:28" x14ac:dyDescent="0.25">
      <c r="A743">
        <v>5</v>
      </c>
      <c r="B743">
        <v>33</v>
      </c>
      <c r="C743">
        <v>31</v>
      </c>
      <c r="D743">
        <v>2371</v>
      </c>
      <c r="E743">
        <v>51</v>
      </c>
      <c r="F743">
        <v>19</v>
      </c>
      <c r="G743">
        <v>19.53496180288494</v>
      </c>
      <c r="H743" t="s">
        <v>139</v>
      </c>
      <c r="I743" t="s">
        <v>32</v>
      </c>
      <c r="J743">
        <v>0</v>
      </c>
      <c r="K743">
        <v>208</v>
      </c>
      <c r="L743" t="s">
        <v>441</v>
      </c>
      <c r="M743">
        <v>2920</v>
      </c>
      <c r="N743">
        <v>6.0672263763844967</v>
      </c>
      <c r="O743">
        <v>29.43168578855693</v>
      </c>
      <c r="P743">
        <v>7.2246418111026287</v>
      </c>
      <c r="Q743">
        <v>26.55360689014196</v>
      </c>
      <c r="R743">
        <v>3</v>
      </c>
      <c r="S743" t="s">
        <v>437</v>
      </c>
      <c r="T743">
        <v>2019</v>
      </c>
      <c r="U743" s="1">
        <v>45901.600802198707</v>
      </c>
      <c r="V743" t="s">
        <v>32</v>
      </c>
      <c r="W743" t="s">
        <v>122</v>
      </c>
      <c r="X743">
        <v>1.05328659128499</v>
      </c>
      <c r="Y743">
        <v>0.97261516002524595</v>
      </c>
      <c r="Z743">
        <v>1.568314211443067</v>
      </c>
      <c r="AA743">
        <v>6.4109589041095889</v>
      </c>
      <c r="AB743">
        <v>0.90714100033223433</v>
      </c>
    </row>
    <row r="744" spans="1:28" x14ac:dyDescent="0.25">
      <c r="A744">
        <v>2</v>
      </c>
      <c r="B744">
        <v>36</v>
      </c>
      <c r="C744">
        <v>23</v>
      </c>
      <c r="D744">
        <v>594</v>
      </c>
      <c r="E744">
        <v>53</v>
      </c>
      <c r="F744">
        <v>17</v>
      </c>
      <c r="G744">
        <v>16.226585706695911</v>
      </c>
      <c r="H744" t="s">
        <v>63</v>
      </c>
      <c r="I744" t="s">
        <v>29</v>
      </c>
      <c r="J744">
        <v>0</v>
      </c>
      <c r="K744">
        <v>99</v>
      </c>
      <c r="L744" t="s">
        <v>436</v>
      </c>
      <c r="M744">
        <v>2985</v>
      </c>
      <c r="N744">
        <v>5.1247677281498909</v>
      </c>
      <c r="O744">
        <v>20.794337948784229</v>
      </c>
      <c r="P744">
        <v>5.3168642483651638</v>
      </c>
      <c r="Q744">
        <v>23.886113854125149</v>
      </c>
      <c r="R744">
        <v>2</v>
      </c>
      <c r="S744" t="s">
        <v>437</v>
      </c>
      <c r="T744">
        <v>2019</v>
      </c>
      <c r="U744" s="1">
        <v>45901.600802198707</v>
      </c>
      <c r="V744" t="s">
        <v>32</v>
      </c>
      <c r="W744" t="s">
        <v>122</v>
      </c>
      <c r="X744">
        <v>1.106070318595775</v>
      </c>
      <c r="Y744">
        <v>1.047663402966216</v>
      </c>
      <c r="Z744">
        <v>2.2056620512157679</v>
      </c>
      <c r="AA744">
        <v>2.9849246231155782</v>
      </c>
      <c r="AB744">
        <v>0.62696496327992657</v>
      </c>
    </row>
    <row r="745" spans="1:28" x14ac:dyDescent="0.25">
      <c r="A745">
        <v>7</v>
      </c>
      <c r="B745">
        <v>36</v>
      </c>
      <c r="C745">
        <v>21</v>
      </c>
      <c r="D745">
        <v>6980</v>
      </c>
      <c r="E745">
        <v>53</v>
      </c>
      <c r="F745">
        <v>19</v>
      </c>
      <c r="G745">
        <v>12.792500432580709</v>
      </c>
      <c r="H745" t="s">
        <v>513</v>
      </c>
      <c r="I745" t="s">
        <v>29</v>
      </c>
      <c r="J745">
        <v>0</v>
      </c>
      <c r="K745">
        <v>73</v>
      </c>
      <c r="L745" t="s">
        <v>449</v>
      </c>
      <c r="M745">
        <v>2940</v>
      </c>
      <c r="N745">
        <v>5.5170168876647949</v>
      </c>
      <c r="O745">
        <v>14.31505648419261</v>
      </c>
      <c r="P745">
        <v>4.7911303667351604</v>
      </c>
      <c r="Q745">
        <v>20.526265125721689</v>
      </c>
      <c r="R745">
        <v>3</v>
      </c>
      <c r="S745" t="s">
        <v>437</v>
      </c>
      <c r="T745">
        <v>2019</v>
      </c>
      <c r="U745" s="1">
        <v>45901.600802198707</v>
      </c>
      <c r="V745" t="s">
        <v>32</v>
      </c>
      <c r="W745" t="s">
        <v>122</v>
      </c>
      <c r="X745">
        <v>1.466986876593134</v>
      </c>
      <c r="Y745">
        <v>1.4852452106712191</v>
      </c>
      <c r="Z745">
        <v>6.6849435158073902</v>
      </c>
      <c r="AA745">
        <v>2.2346938775510199</v>
      </c>
      <c r="AB745">
        <v>0.43821601482222272</v>
      </c>
    </row>
    <row r="746" spans="1:28" x14ac:dyDescent="0.25">
      <c r="A746">
        <v>6</v>
      </c>
      <c r="B746">
        <v>28</v>
      </c>
      <c r="C746">
        <v>18</v>
      </c>
      <c r="D746">
        <v>1148</v>
      </c>
      <c r="E746">
        <v>38</v>
      </c>
      <c r="F746">
        <v>17</v>
      </c>
      <c r="G746">
        <v>15.07186816632748</v>
      </c>
      <c r="H746" t="s">
        <v>496</v>
      </c>
      <c r="I746" t="s">
        <v>29</v>
      </c>
      <c r="J746">
        <v>0</v>
      </c>
      <c r="K746">
        <v>89</v>
      </c>
      <c r="L746" t="s">
        <v>482</v>
      </c>
      <c r="M746">
        <v>2047</v>
      </c>
      <c r="N746">
        <v>5.7638697661459446</v>
      </c>
      <c r="O746">
        <v>15.833167165517811</v>
      </c>
      <c r="P746">
        <v>4.9514012336730957</v>
      </c>
      <c r="Q746">
        <v>21.9683753605932</v>
      </c>
      <c r="R746">
        <v>1</v>
      </c>
      <c r="S746" t="s">
        <v>437</v>
      </c>
      <c r="T746">
        <v>2019</v>
      </c>
      <c r="U746" s="1">
        <v>45901.600802198707</v>
      </c>
      <c r="V746" t="s">
        <v>32</v>
      </c>
      <c r="W746" t="s">
        <v>122</v>
      </c>
      <c r="X746">
        <v>1.136854036329586</v>
      </c>
      <c r="Y746">
        <v>1.127929186507896</v>
      </c>
      <c r="Z746">
        <v>2.1668328344821912</v>
      </c>
      <c r="AA746">
        <v>3.9130434782608701</v>
      </c>
      <c r="AB746">
        <v>0.69613338783419776</v>
      </c>
    </row>
    <row r="747" spans="1:28" x14ac:dyDescent="0.25">
      <c r="A747">
        <v>1</v>
      </c>
      <c r="B747">
        <v>34</v>
      </c>
      <c r="C747">
        <v>18</v>
      </c>
      <c r="D747">
        <v>1229</v>
      </c>
      <c r="E747">
        <v>36</v>
      </c>
      <c r="F747">
        <v>12</v>
      </c>
      <c r="G747">
        <v>7.839688865467906</v>
      </c>
      <c r="H747" t="s">
        <v>490</v>
      </c>
      <c r="I747" t="s">
        <v>29</v>
      </c>
      <c r="J747">
        <v>0</v>
      </c>
      <c r="K747">
        <v>77</v>
      </c>
      <c r="L747" t="s">
        <v>482</v>
      </c>
      <c r="M747">
        <v>1225</v>
      </c>
      <c r="N747">
        <v>4.7015578038990498</v>
      </c>
      <c r="O747">
        <v>13.16878011636436</v>
      </c>
      <c r="P747">
        <v>5.6975774001330137</v>
      </c>
      <c r="Q747">
        <v>15.9248726926744</v>
      </c>
      <c r="R747">
        <v>1</v>
      </c>
      <c r="S747" t="s">
        <v>437</v>
      </c>
      <c r="T747">
        <v>2019</v>
      </c>
      <c r="U747" s="1">
        <v>45901.600802198707</v>
      </c>
      <c r="V747" t="s">
        <v>32</v>
      </c>
      <c r="W747" t="s">
        <v>122</v>
      </c>
      <c r="X747">
        <v>1.366869204356451</v>
      </c>
      <c r="Y747">
        <v>1.5306729904623311</v>
      </c>
      <c r="Z747">
        <v>4.8312198836356401</v>
      </c>
      <c r="AA747">
        <v>5.6571428571428566</v>
      </c>
      <c r="AB747">
        <v>0.96750221263085101</v>
      </c>
    </row>
    <row r="748" spans="1:28" x14ac:dyDescent="0.25">
      <c r="A748">
        <v>4</v>
      </c>
      <c r="B748">
        <v>36</v>
      </c>
      <c r="C748">
        <v>18</v>
      </c>
      <c r="D748">
        <v>1592</v>
      </c>
      <c r="E748">
        <v>34</v>
      </c>
      <c r="F748">
        <v>14</v>
      </c>
      <c r="G748">
        <v>9.0197893045842648</v>
      </c>
      <c r="H748" t="s">
        <v>191</v>
      </c>
      <c r="I748" t="s">
        <v>35</v>
      </c>
      <c r="J748">
        <v>0</v>
      </c>
      <c r="K748">
        <v>87</v>
      </c>
      <c r="L748" t="s">
        <v>480</v>
      </c>
      <c r="M748">
        <v>3170</v>
      </c>
      <c r="N748">
        <v>3.4426078982651238</v>
      </c>
      <c r="O748">
        <v>13.587584313005211</v>
      </c>
      <c r="P748">
        <v>6.634416775777936</v>
      </c>
      <c r="Q748">
        <v>17.57632730063051</v>
      </c>
      <c r="R748">
        <v>6</v>
      </c>
      <c r="S748" t="s">
        <v>437</v>
      </c>
      <c r="T748">
        <v>2019</v>
      </c>
      <c r="U748" s="1">
        <v>45901.600802198707</v>
      </c>
      <c r="V748" t="s">
        <v>32</v>
      </c>
      <c r="W748" t="s">
        <v>122</v>
      </c>
      <c r="X748">
        <v>1.3247387898650611</v>
      </c>
      <c r="Y748">
        <v>1.5521426861805481</v>
      </c>
      <c r="Z748">
        <v>4.4124156869947928</v>
      </c>
      <c r="AA748">
        <v>2.4700315457413251</v>
      </c>
      <c r="AB748">
        <v>0.3857673779717567</v>
      </c>
    </row>
    <row r="749" spans="1:28" x14ac:dyDescent="0.25">
      <c r="A749">
        <v>7</v>
      </c>
      <c r="B749">
        <v>35</v>
      </c>
      <c r="C749">
        <v>16</v>
      </c>
      <c r="D749">
        <v>1253</v>
      </c>
      <c r="E749">
        <v>54</v>
      </c>
      <c r="F749">
        <v>16</v>
      </c>
      <c r="G749">
        <v>21.150355987250801</v>
      </c>
      <c r="H749" t="s">
        <v>475</v>
      </c>
      <c r="I749" t="s">
        <v>29</v>
      </c>
      <c r="J749">
        <v>0</v>
      </c>
      <c r="K749">
        <v>122</v>
      </c>
      <c r="L749" t="s">
        <v>467</v>
      </c>
      <c r="M749">
        <v>2857</v>
      </c>
      <c r="N749">
        <v>6.0205922275781631</v>
      </c>
      <c r="O749">
        <v>21.150355987250801</v>
      </c>
      <c r="P749">
        <v>8.1277911933138967</v>
      </c>
      <c r="Q749">
        <v>29.798950819298621</v>
      </c>
      <c r="R749">
        <v>4</v>
      </c>
      <c r="S749" t="s">
        <v>437</v>
      </c>
      <c r="T749">
        <v>2019</v>
      </c>
      <c r="U749" s="1">
        <v>45901.600802198707</v>
      </c>
      <c r="V749" t="s">
        <v>32</v>
      </c>
      <c r="W749" t="s">
        <v>122</v>
      </c>
      <c r="X749">
        <v>0.75648844916107416</v>
      </c>
      <c r="Y749">
        <v>0.75648844916107416</v>
      </c>
      <c r="Z749">
        <v>-5.1503559872508049</v>
      </c>
      <c r="AA749">
        <v>3.8431921596079799</v>
      </c>
      <c r="AB749">
        <v>0.66626952707475406</v>
      </c>
    </row>
    <row r="750" spans="1:28" x14ac:dyDescent="0.25">
      <c r="A750">
        <v>4</v>
      </c>
      <c r="B750">
        <v>36</v>
      </c>
      <c r="C750">
        <v>15</v>
      </c>
      <c r="D750">
        <v>1186</v>
      </c>
      <c r="E750">
        <v>42</v>
      </c>
      <c r="F750">
        <v>8</v>
      </c>
      <c r="G750">
        <v>10.737929682247341</v>
      </c>
      <c r="H750" t="s">
        <v>470</v>
      </c>
      <c r="I750" t="s">
        <v>29</v>
      </c>
      <c r="J750">
        <v>0</v>
      </c>
      <c r="K750">
        <v>104</v>
      </c>
      <c r="L750" t="s">
        <v>455</v>
      </c>
      <c r="M750">
        <v>3010</v>
      </c>
      <c r="N750">
        <v>5.0200597830116749</v>
      </c>
      <c r="O750">
        <v>16.828323720954359</v>
      </c>
      <c r="P750">
        <v>3.1620907038450241</v>
      </c>
      <c r="Q750">
        <v>15.49090805649757</v>
      </c>
      <c r="R750">
        <v>4</v>
      </c>
      <c r="S750" t="s">
        <v>437</v>
      </c>
      <c r="T750">
        <v>2019</v>
      </c>
      <c r="U750" s="1">
        <v>45901.600802198707</v>
      </c>
      <c r="V750" t="s">
        <v>32</v>
      </c>
      <c r="W750" t="s">
        <v>122</v>
      </c>
      <c r="X750">
        <v>0.89135437662886419</v>
      </c>
      <c r="Y750">
        <v>0.74502257294775653</v>
      </c>
      <c r="Z750">
        <v>-1.828323720954359</v>
      </c>
      <c r="AA750">
        <v>3.109634551495017</v>
      </c>
      <c r="AB750">
        <v>0.50317247006175825</v>
      </c>
    </row>
    <row r="751" spans="1:28" x14ac:dyDescent="0.25">
      <c r="A751">
        <v>5</v>
      </c>
      <c r="B751">
        <v>26</v>
      </c>
      <c r="C751">
        <v>15</v>
      </c>
      <c r="D751">
        <v>1426</v>
      </c>
      <c r="E751">
        <v>53</v>
      </c>
      <c r="F751">
        <v>15</v>
      </c>
      <c r="G751">
        <v>10.302356295287611</v>
      </c>
      <c r="H751" t="s">
        <v>503</v>
      </c>
      <c r="I751" t="s">
        <v>35</v>
      </c>
      <c r="J751">
        <v>1</v>
      </c>
      <c r="K751">
        <v>81</v>
      </c>
      <c r="L751" t="s">
        <v>482</v>
      </c>
      <c r="M751">
        <v>1682</v>
      </c>
      <c r="N751">
        <v>7.0947669968009004</v>
      </c>
      <c r="O751">
        <v>10.302356295287611</v>
      </c>
      <c r="P751">
        <v>10.623072260990741</v>
      </c>
      <c r="Q751">
        <v>23.532421188429002</v>
      </c>
      <c r="R751">
        <v>1</v>
      </c>
      <c r="S751" t="s">
        <v>437</v>
      </c>
      <c r="T751">
        <v>2019</v>
      </c>
      <c r="U751" s="1">
        <v>45901.600802198707</v>
      </c>
      <c r="V751" t="s">
        <v>32</v>
      </c>
      <c r="W751" t="s">
        <v>122</v>
      </c>
      <c r="X751">
        <v>1.4559776006641449</v>
      </c>
      <c r="Y751">
        <v>1.4559776006641449</v>
      </c>
      <c r="Z751">
        <v>4.6976437047123927</v>
      </c>
      <c r="AA751">
        <v>4.3341260404280622</v>
      </c>
      <c r="AB751">
        <v>0.551255687619432</v>
      </c>
    </row>
    <row r="752" spans="1:28" x14ac:dyDescent="0.25">
      <c r="A752">
        <v>10</v>
      </c>
      <c r="B752">
        <v>31</v>
      </c>
      <c r="C752">
        <v>14</v>
      </c>
      <c r="D752">
        <v>1612</v>
      </c>
      <c r="E752">
        <v>59</v>
      </c>
      <c r="F752">
        <v>12</v>
      </c>
      <c r="G752">
        <v>7.9697651569731534</v>
      </c>
      <c r="H752" t="s">
        <v>448</v>
      </c>
      <c r="I752" t="s">
        <v>35</v>
      </c>
      <c r="J752">
        <v>1</v>
      </c>
      <c r="K752">
        <v>119</v>
      </c>
      <c r="L752" t="s">
        <v>449</v>
      </c>
      <c r="M752">
        <v>2521</v>
      </c>
      <c r="N752">
        <v>7.8730343654751778</v>
      </c>
      <c r="O752">
        <v>10.25366591336206</v>
      </c>
      <c r="P752">
        <v>6.4422936253249654</v>
      </c>
      <c r="Q752">
        <v>18.357233034446839</v>
      </c>
      <c r="R752">
        <v>6</v>
      </c>
      <c r="S752" t="s">
        <v>437</v>
      </c>
      <c r="T752">
        <v>2019</v>
      </c>
      <c r="U752" s="1">
        <v>45901.600802198707</v>
      </c>
      <c r="V752" t="s">
        <v>32</v>
      </c>
      <c r="W752" t="s">
        <v>122</v>
      </c>
      <c r="X752">
        <v>1.365365335509509</v>
      </c>
      <c r="Y752">
        <v>1.5056905396391249</v>
      </c>
      <c r="Z752">
        <v>3.746334086637944</v>
      </c>
      <c r="AA752">
        <v>4.2483141610472037</v>
      </c>
      <c r="AB752">
        <v>0.36605709329733638</v>
      </c>
    </row>
    <row r="753" spans="1:28" x14ac:dyDescent="0.25">
      <c r="A753">
        <v>3</v>
      </c>
      <c r="B753">
        <v>35</v>
      </c>
      <c r="C753">
        <v>14</v>
      </c>
      <c r="D753">
        <v>7006</v>
      </c>
      <c r="E753">
        <v>31</v>
      </c>
      <c r="F753">
        <v>12</v>
      </c>
      <c r="G753">
        <v>13.4368161521852</v>
      </c>
      <c r="H753" t="s">
        <v>517</v>
      </c>
      <c r="I753" t="s">
        <v>29</v>
      </c>
      <c r="J753">
        <v>1</v>
      </c>
      <c r="K753">
        <v>125</v>
      </c>
      <c r="L753" t="s">
        <v>436</v>
      </c>
      <c r="M753">
        <v>2487</v>
      </c>
      <c r="N753">
        <v>3.1426606830209498</v>
      </c>
      <c r="O753">
        <v>15.72071215137839</v>
      </c>
      <c r="P753">
        <v>5.4234310276806363</v>
      </c>
      <c r="Q753">
        <v>19.058666795492169</v>
      </c>
      <c r="R753">
        <v>8</v>
      </c>
      <c r="S753" t="s">
        <v>437</v>
      </c>
      <c r="T753">
        <v>2019</v>
      </c>
      <c r="U753" s="1">
        <v>45901.600802198707</v>
      </c>
      <c r="V753" t="s">
        <v>32</v>
      </c>
      <c r="W753" t="s">
        <v>122</v>
      </c>
      <c r="X753">
        <v>0.89054489804219716</v>
      </c>
      <c r="Y753">
        <v>0.89306870497357105</v>
      </c>
      <c r="Z753">
        <v>-1.720712151378391</v>
      </c>
      <c r="AA753">
        <v>4.5235223160434259</v>
      </c>
      <c r="AB753">
        <v>0.56890393792684169</v>
      </c>
    </row>
    <row r="754" spans="1:28" x14ac:dyDescent="0.25">
      <c r="A754">
        <v>2</v>
      </c>
      <c r="B754">
        <v>33</v>
      </c>
      <c r="C754">
        <v>14</v>
      </c>
      <c r="D754">
        <v>7973</v>
      </c>
      <c r="E754">
        <v>32</v>
      </c>
      <c r="F754">
        <v>5</v>
      </c>
      <c r="G754">
        <v>7.1462075607851148</v>
      </c>
      <c r="H754" t="s">
        <v>518</v>
      </c>
      <c r="I754" t="s">
        <v>35</v>
      </c>
      <c r="J754">
        <v>0</v>
      </c>
      <c r="K754">
        <v>85</v>
      </c>
      <c r="L754" t="s">
        <v>519</v>
      </c>
      <c r="M754">
        <v>2456</v>
      </c>
      <c r="N754">
        <v>3.3707965388894081</v>
      </c>
      <c r="O754">
        <v>15.520460256375371</v>
      </c>
      <c r="P754">
        <v>3.3359309080988169</v>
      </c>
      <c r="Q754">
        <v>11.121595025062559</v>
      </c>
      <c r="R754">
        <v>3</v>
      </c>
      <c r="S754" t="s">
        <v>437</v>
      </c>
      <c r="T754">
        <v>2019</v>
      </c>
      <c r="U754" s="1">
        <v>45901.600802198707</v>
      </c>
      <c r="V754" t="s">
        <v>32</v>
      </c>
      <c r="W754" t="s">
        <v>122</v>
      </c>
      <c r="X754">
        <v>0.90203510519278518</v>
      </c>
      <c r="Y754">
        <v>0.69967181298197245</v>
      </c>
      <c r="Z754">
        <v>-1.520460256375372</v>
      </c>
      <c r="AA754">
        <v>3.1148208469055381</v>
      </c>
      <c r="AB754">
        <v>0.56874650776619851</v>
      </c>
    </row>
    <row r="755" spans="1:28" x14ac:dyDescent="0.25">
      <c r="A755">
        <v>3</v>
      </c>
      <c r="B755">
        <v>37</v>
      </c>
      <c r="C755">
        <v>12</v>
      </c>
      <c r="D755">
        <v>1102</v>
      </c>
      <c r="E755">
        <v>18</v>
      </c>
      <c r="F755">
        <v>12</v>
      </c>
      <c r="G755">
        <v>12.27866226341575</v>
      </c>
      <c r="H755" t="s">
        <v>486</v>
      </c>
      <c r="I755" t="s">
        <v>29</v>
      </c>
      <c r="J755">
        <v>0</v>
      </c>
      <c r="K755">
        <v>86</v>
      </c>
      <c r="L755" t="s">
        <v>480</v>
      </c>
      <c r="M755">
        <v>2951</v>
      </c>
      <c r="N755">
        <v>2.9999660663306722</v>
      </c>
      <c r="O755">
        <v>12.27866226341575</v>
      </c>
      <c r="P755">
        <v>2.7131990129128098</v>
      </c>
      <c r="Q755">
        <v>16.30761490017176</v>
      </c>
      <c r="R755">
        <v>4</v>
      </c>
      <c r="S755" t="s">
        <v>437</v>
      </c>
      <c r="T755">
        <v>2019</v>
      </c>
      <c r="U755" s="1">
        <v>45901.600802198707</v>
      </c>
      <c r="V755" t="s">
        <v>32</v>
      </c>
      <c r="W755" t="s">
        <v>122</v>
      </c>
      <c r="X755">
        <v>0.97730516098272147</v>
      </c>
      <c r="Y755">
        <v>0.97730516098272147</v>
      </c>
      <c r="Z755">
        <v>-0.27866226341575379</v>
      </c>
      <c r="AA755">
        <v>2.6228397153507279</v>
      </c>
      <c r="AB755">
        <v>0.37447631437052448</v>
      </c>
    </row>
    <row r="756" spans="1:28" x14ac:dyDescent="0.25">
      <c r="A756">
        <v>1</v>
      </c>
      <c r="B756">
        <v>36</v>
      </c>
      <c r="C756">
        <v>12</v>
      </c>
      <c r="D756">
        <v>1493</v>
      </c>
      <c r="E756">
        <v>36</v>
      </c>
      <c r="F756">
        <v>7</v>
      </c>
      <c r="G756">
        <v>8.1183227216824889</v>
      </c>
      <c r="H756" t="s">
        <v>512</v>
      </c>
      <c r="I756" t="s">
        <v>29</v>
      </c>
      <c r="J756">
        <v>0</v>
      </c>
      <c r="K756">
        <v>110</v>
      </c>
      <c r="L756" t="s">
        <v>505</v>
      </c>
      <c r="M756">
        <v>3038</v>
      </c>
      <c r="N756">
        <v>3.0871084993705158</v>
      </c>
      <c r="O756">
        <v>13.4474197877571</v>
      </c>
      <c r="P756">
        <v>4.8794146133586764</v>
      </c>
      <c r="Q756">
        <v>13.11187385488302</v>
      </c>
      <c r="R756">
        <v>5</v>
      </c>
      <c r="S756" t="s">
        <v>437</v>
      </c>
      <c r="T756">
        <v>2019</v>
      </c>
      <c r="U756" s="1">
        <v>45901.600802198707</v>
      </c>
      <c r="V756" t="s">
        <v>32</v>
      </c>
      <c r="W756" t="s">
        <v>122</v>
      </c>
      <c r="X756">
        <v>0.8923644973829945</v>
      </c>
      <c r="Y756">
        <v>0.8622470724530743</v>
      </c>
      <c r="Z756">
        <v>-1.4474197877571</v>
      </c>
      <c r="AA756">
        <v>3.258722843976301</v>
      </c>
      <c r="AB756">
        <v>0.39837649140820902</v>
      </c>
    </row>
    <row r="757" spans="1:28" x14ac:dyDescent="0.25">
      <c r="A757">
        <v>3</v>
      </c>
      <c r="B757">
        <v>26</v>
      </c>
      <c r="C757">
        <v>12</v>
      </c>
      <c r="D757">
        <v>6156</v>
      </c>
      <c r="E757">
        <v>21</v>
      </c>
      <c r="F757">
        <v>12</v>
      </c>
      <c r="G757">
        <v>7.5289600286632776</v>
      </c>
      <c r="H757" t="s">
        <v>520</v>
      </c>
      <c r="I757" t="s">
        <v>29</v>
      </c>
      <c r="J757">
        <v>0</v>
      </c>
      <c r="K757">
        <v>46</v>
      </c>
      <c r="L757" t="s">
        <v>516</v>
      </c>
      <c r="M757">
        <v>1482</v>
      </c>
      <c r="N757">
        <v>1.6179817002266641</v>
      </c>
      <c r="O757">
        <v>7.5289600286632776</v>
      </c>
      <c r="P757">
        <v>1.9523222120478749</v>
      </c>
      <c r="Q757">
        <v>10.615368086844679</v>
      </c>
      <c r="R757">
        <v>1</v>
      </c>
      <c r="S757" t="s">
        <v>437</v>
      </c>
      <c r="T757">
        <v>2019</v>
      </c>
      <c r="U757" s="1">
        <v>45901.600802198707</v>
      </c>
      <c r="V757" t="s">
        <v>32</v>
      </c>
      <c r="W757" t="s">
        <v>122</v>
      </c>
      <c r="X757">
        <v>1.5938456246699619</v>
      </c>
      <c r="Y757">
        <v>1.5938456246699619</v>
      </c>
      <c r="Z757">
        <v>4.4710399713367224</v>
      </c>
      <c r="AA757">
        <v>2.7935222672064781</v>
      </c>
      <c r="AB757">
        <v>0.4572242932386606</v>
      </c>
    </row>
    <row r="758" spans="1:28" x14ac:dyDescent="0.25">
      <c r="A758">
        <v>0</v>
      </c>
      <c r="B758">
        <v>25</v>
      </c>
      <c r="C758">
        <v>11</v>
      </c>
      <c r="D758">
        <v>1136</v>
      </c>
      <c r="E758">
        <v>23</v>
      </c>
      <c r="F758">
        <v>9</v>
      </c>
      <c r="G758">
        <v>8.3109150696545839</v>
      </c>
      <c r="H758" t="s">
        <v>521</v>
      </c>
      <c r="I758" t="s">
        <v>29</v>
      </c>
      <c r="J758">
        <v>1</v>
      </c>
      <c r="K758">
        <v>60</v>
      </c>
      <c r="L758" t="s">
        <v>519</v>
      </c>
      <c r="M758">
        <v>1808</v>
      </c>
      <c r="N758">
        <v>1.238749814219773</v>
      </c>
      <c r="O758">
        <v>9.8335171807557344</v>
      </c>
      <c r="P758">
        <v>2.1063148286193609</v>
      </c>
      <c r="Q758">
        <v>9.2708180975168943</v>
      </c>
      <c r="R758">
        <v>8</v>
      </c>
      <c r="S758" t="s">
        <v>437</v>
      </c>
      <c r="T758">
        <v>2019</v>
      </c>
      <c r="U758" s="1">
        <v>45901.600802198707</v>
      </c>
      <c r="V758" t="s">
        <v>32</v>
      </c>
      <c r="W758" t="s">
        <v>122</v>
      </c>
      <c r="X758">
        <v>1.1186231536288029</v>
      </c>
      <c r="Y758">
        <v>1.0829132441578491</v>
      </c>
      <c r="Z758">
        <v>1.166482819244266</v>
      </c>
      <c r="AA758">
        <v>2.9867256637168138</v>
      </c>
      <c r="AB758">
        <v>0.48950030213938939</v>
      </c>
    </row>
    <row r="759" spans="1:28" x14ac:dyDescent="0.25">
      <c r="A759">
        <v>3</v>
      </c>
      <c r="B759">
        <v>28</v>
      </c>
      <c r="C759">
        <v>11</v>
      </c>
      <c r="D759">
        <v>1230</v>
      </c>
      <c r="E759">
        <v>37</v>
      </c>
      <c r="F759">
        <v>6</v>
      </c>
      <c r="G759">
        <v>8.1267531998455524</v>
      </c>
      <c r="H759" t="s">
        <v>454</v>
      </c>
      <c r="I759" t="s">
        <v>35</v>
      </c>
      <c r="J759">
        <v>0</v>
      </c>
      <c r="K759">
        <v>100</v>
      </c>
      <c r="L759" t="s">
        <v>487</v>
      </c>
      <c r="M759">
        <v>2302</v>
      </c>
      <c r="N759">
        <v>3.7642649058252569</v>
      </c>
      <c r="O759">
        <v>12.69454966112971</v>
      </c>
      <c r="P759">
        <v>2.5453762225806722</v>
      </c>
      <c r="Q759">
        <v>11.53891903907061</v>
      </c>
      <c r="R759">
        <v>2</v>
      </c>
      <c r="S759" t="s">
        <v>437</v>
      </c>
      <c r="T759">
        <v>2019</v>
      </c>
      <c r="U759" s="1">
        <v>45901.600802198707</v>
      </c>
      <c r="V759" t="s">
        <v>32</v>
      </c>
      <c r="W759" t="s">
        <v>122</v>
      </c>
      <c r="X759">
        <v>0.86651360573125602</v>
      </c>
      <c r="Y759">
        <v>0.73830222875650131</v>
      </c>
      <c r="Z759">
        <v>-1.6945496611297111</v>
      </c>
      <c r="AA759">
        <v>3.9096437880104258</v>
      </c>
      <c r="AB759">
        <v>0.49631167224225631</v>
      </c>
    </row>
    <row r="760" spans="1:28" x14ac:dyDescent="0.25">
      <c r="A760">
        <v>6</v>
      </c>
      <c r="B760">
        <v>33</v>
      </c>
      <c r="C760">
        <v>11</v>
      </c>
      <c r="D760">
        <v>1294</v>
      </c>
      <c r="E760">
        <v>69</v>
      </c>
      <c r="F760">
        <v>10</v>
      </c>
      <c r="G760">
        <v>8.5490399375557899</v>
      </c>
      <c r="H760" t="s">
        <v>456</v>
      </c>
      <c r="I760" t="s">
        <v>35</v>
      </c>
      <c r="J760">
        <v>0</v>
      </c>
      <c r="K760">
        <v>100</v>
      </c>
      <c r="L760" t="s">
        <v>441</v>
      </c>
      <c r="M760">
        <v>2187</v>
      </c>
      <c r="N760">
        <v>7.1912261880934238</v>
      </c>
      <c r="O760">
        <v>9.3103428855538368</v>
      </c>
      <c r="P760">
        <v>9.5628890944644809</v>
      </c>
      <c r="Q760">
        <v>19.916580713354051</v>
      </c>
      <c r="R760">
        <v>5</v>
      </c>
      <c r="S760" t="s">
        <v>437</v>
      </c>
      <c r="T760">
        <v>2019</v>
      </c>
      <c r="U760" s="1">
        <v>45901.600802198707</v>
      </c>
      <c r="V760" t="s">
        <v>32</v>
      </c>
      <c r="W760" t="s">
        <v>122</v>
      </c>
      <c r="X760">
        <v>1.1814817279251739</v>
      </c>
      <c r="Y760">
        <v>1.1697219890236059</v>
      </c>
      <c r="Z760">
        <v>1.689657114446163</v>
      </c>
      <c r="AA760">
        <v>4.1152263374485596</v>
      </c>
      <c r="AB760">
        <v>0.38314168253307967</v>
      </c>
    </row>
    <row r="761" spans="1:28" x14ac:dyDescent="0.25">
      <c r="A761">
        <v>1</v>
      </c>
      <c r="B761">
        <v>33</v>
      </c>
      <c r="C761">
        <v>11</v>
      </c>
      <c r="D761">
        <v>1383</v>
      </c>
      <c r="E761">
        <v>39</v>
      </c>
      <c r="F761">
        <v>10</v>
      </c>
      <c r="G761">
        <v>7.1015723273158073</v>
      </c>
      <c r="H761" t="s">
        <v>446</v>
      </c>
      <c r="I761" t="s">
        <v>35</v>
      </c>
      <c r="J761">
        <v>0</v>
      </c>
      <c r="K761">
        <v>86</v>
      </c>
      <c r="L761" t="s">
        <v>487</v>
      </c>
      <c r="M761">
        <v>2043</v>
      </c>
      <c r="N761">
        <v>3.5406722212210302</v>
      </c>
      <c r="O761">
        <v>7.8628713116049767</v>
      </c>
      <c r="P761">
        <v>2.911553824320436</v>
      </c>
      <c r="Q761">
        <v>11.27924187295139</v>
      </c>
      <c r="R761">
        <v>2</v>
      </c>
      <c r="S761" t="s">
        <v>437</v>
      </c>
      <c r="T761">
        <v>2019</v>
      </c>
      <c r="U761" s="1">
        <v>45901.600802198707</v>
      </c>
      <c r="V761" t="s">
        <v>32</v>
      </c>
      <c r="W761" t="s">
        <v>122</v>
      </c>
      <c r="X761">
        <v>1.39898003719899</v>
      </c>
      <c r="Y761">
        <v>1.40813886546442</v>
      </c>
      <c r="Z761">
        <v>3.1371286883950229</v>
      </c>
      <c r="AA761">
        <v>3.7885462555066081</v>
      </c>
      <c r="AB761">
        <v>0.34638199610594611</v>
      </c>
    </row>
    <row r="762" spans="1:28" x14ac:dyDescent="0.25">
      <c r="A762">
        <v>0</v>
      </c>
      <c r="B762">
        <v>26</v>
      </c>
      <c r="C762">
        <v>11</v>
      </c>
      <c r="D762">
        <v>1583</v>
      </c>
      <c r="E762">
        <v>21</v>
      </c>
      <c r="F762">
        <v>11</v>
      </c>
      <c r="G762">
        <v>11.05553171224892</v>
      </c>
      <c r="H762" t="s">
        <v>511</v>
      </c>
      <c r="I762" t="s">
        <v>29</v>
      </c>
      <c r="J762">
        <v>0</v>
      </c>
      <c r="K762">
        <v>68</v>
      </c>
      <c r="L762" t="s">
        <v>443</v>
      </c>
      <c r="M762">
        <v>1754</v>
      </c>
      <c r="N762">
        <v>1.772978335618973</v>
      </c>
      <c r="O762">
        <v>11.05553171224892</v>
      </c>
      <c r="P762">
        <v>3.9042933192104101</v>
      </c>
      <c r="Q762">
        <v>14.795822352170941</v>
      </c>
      <c r="R762">
        <v>5</v>
      </c>
      <c r="S762" t="s">
        <v>437</v>
      </c>
      <c r="T762">
        <v>2019</v>
      </c>
      <c r="U762" s="1">
        <v>45901.600802198707</v>
      </c>
      <c r="V762" t="s">
        <v>32</v>
      </c>
      <c r="W762" t="s">
        <v>122</v>
      </c>
      <c r="X762">
        <v>0.99497702021989642</v>
      </c>
      <c r="Y762">
        <v>0.99497702021989642</v>
      </c>
      <c r="Z762">
        <v>-5.5531712248919618E-2</v>
      </c>
      <c r="AA762">
        <v>3.4891676168757129</v>
      </c>
      <c r="AB762">
        <v>0.56727357702531511</v>
      </c>
    </row>
    <row r="763" spans="1:28" x14ac:dyDescent="0.25">
      <c r="A763">
        <v>3</v>
      </c>
      <c r="B763">
        <v>26</v>
      </c>
      <c r="C763">
        <v>11</v>
      </c>
      <c r="D763">
        <v>1852</v>
      </c>
      <c r="E763">
        <v>32</v>
      </c>
      <c r="F763">
        <v>11</v>
      </c>
      <c r="G763">
        <v>7.4929670188575983</v>
      </c>
      <c r="H763" t="s">
        <v>522</v>
      </c>
      <c r="I763" t="s">
        <v>35</v>
      </c>
      <c r="J763">
        <v>0</v>
      </c>
      <c r="K763">
        <v>42</v>
      </c>
      <c r="L763" t="s">
        <v>445</v>
      </c>
      <c r="M763">
        <v>1417</v>
      </c>
      <c r="N763">
        <v>3.819942737929523</v>
      </c>
      <c r="O763">
        <v>7.4929670188575983</v>
      </c>
      <c r="P763">
        <v>3.6809177994728088</v>
      </c>
      <c r="Q763">
        <v>13.79315051063895</v>
      </c>
      <c r="R763">
        <v>5</v>
      </c>
      <c r="S763" t="s">
        <v>437</v>
      </c>
      <c r="T763">
        <v>2019</v>
      </c>
      <c r="U763" s="1">
        <v>45901.600802198707</v>
      </c>
      <c r="V763" t="s">
        <v>32</v>
      </c>
      <c r="W763" t="s">
        <v>122</v>
      </c>
      <c r="X763">
        <v>1.4680432961090351</v>
      </c>
      <c r="Y763">
        <v>1.4680432961090351</v>
      </c>
      <c r="Z763">
        <v>3.5070329811424021</v>
      </c>
      <c r="AA763">
        <v>2.667607621736062</v>
      </c>
      <c r="AB763">
        <v>0.47591180783146347</v>
      </c>
    </row>
    <row r="764" spans="1:28" x14ac:dyDescent="0.25">
      <c r="A764">
        <v>2</v>
      </c>
      <c r="B764">
        <v>34</v>
      </c>
      <c r="C764">
        <v>11</v>
      </c>
      <c r="D764">
        <v>3544</v>
      </c>
      <c r="E764">
        <v>34</v>
      </c>
      <c r="F764">
        <v>11</v>
      </c>
      <c r="G764">
        <v>4.567409997805953</v>
      </c>
      <c r="H764" t="s">
        <v>523</v>
      </c>
      <c r="I764" t="s">
        <v>35</v>
      </c>
      <c r="J764">
        <v>0</v>
      </c>
      <c r="K764">
        <v>57</v>
      </c>
      <c r="L764" t="s">
        <v>449</v>
      </c>
      <c r="M764">
        <v>2536</v>
      </c>
      <c r="N764">
        <v>3.224501945078373</v>
      </c>
      <c r="O764">
        <v>4.567409997805953</v>
      </c>
      <c r="P764">
        <v>5.2147984430193901</v>
      </c>
      <c r="Q764">
        <v>11.070510968565941</v>
      </c>
      <c r="R764">
        <v>0</v>
      </c>
      <c r="S764" t="s">
        <v>437</v>
      </c>
      <c r="T764">
        <v>2019</v>
      </c>
      <c r="U764" s="1">
        <v>45901.600802198707</v>
      </c>
      <c r="V764" t="s">
        <v>32</v>
      </c>
      <c r="W764" t="s">
        <v>122</v>
      </c>
      <c r="X764">
        <v>2.40836710636533</v>
      </c>
      <c r="Y764">
        <v>2.40836710636533</v>
      </c>
      <c r="Z764">
        <v>6.432590002194047</v>
      </c>
      <c r="AA764">
        <v>2.0228706624605679</v>
      </c>
      <c r="AB764">
        <v>0.16209262610510089</v>
      </c>
    </row>
    <row r="765" spans="1:28" x14ac:dyDescent="0.25">
      <c r="A765">
        <v>5</v>
      </c>
      <c r="B765">
        <v>18</v>
      </c>
      <c r="C765">
        <v>10</v>
      </c>
      <c r="D765">
        <v>1741</v>
      </c>
      <c r="E765">
        <v>26</v>
      </c>
      <c r="F765">
        <v>8</v>
      </c>
      <c r="G765">
        <v>9.1335942819714564</v>
      </c>
      <c r="H765" t="s">
        <v>86</v>
      </c>
      <c r="I765" t="s">
        <v>29</v>
      </c>
      <c r="J765">
        <v>0</v>
      </c>
      <c r="K765">
        <v>66</v>
      </c>
      <c r="L765" t="s">
        <v>445</v>
      </c>
      <c r="M765">
        <v>1371</v>
      </c>
      <c r="N765">
        <v>3.8295467961579561</v>
      </c>
      <c r="O765">
        <v>11.41749020665884</v>
      </c>
      <c r="P765">
        <v>5.1743223629891872</v>
      </c>
      <c r="Q765">
        <v>14.199741244316099</v>
      </c>
      <c r="R765">
        <v>1</v>
      </c>
      <c r="S765" t="s">
        <v>437</v>
      </c>
      <c r="T765">
        <v>2019</v>
      </c>
      <c r="U765" s="1">
        <v>45901.600802198707</v>
      </c>
      <c r="V765" t="s">
        <v>32</v>
      </c>
      <c r="W765" t="s">
        <v>122</v>
      </c>
      <c r="X765">
        <v>0.8758492294714525</v>
      </c>
      <c r="Y765">
        <v>0.87588738376423991</v>
      </c>
      <c r="Z765">
        <v>-1.41749020665884</v>
      </c>
      <c r="AA765">
        <v>4.3326039387308537</v>
      </c>
      <c r="AB765">
        <v>0.74950701575440959</v>
      </c>
    </row>
    <row r="766" spans="1:28" x14ac:dyDescent="0.25">
      <c r="A766">
        <v>1</v>
      </c>
      <c r="B766">
        <v>36</v>
      </c>
      <c r="C766">
        <v>10</v>
      </c>
      <c r="D766">
        <v>1903</v>
      </c>
      <c r="E766">
        <v>23</v>
      </c>
      <c r="F766">
        <v>10</v>
      </c>
      <c r="G766">
        <v>10.62819236516952</v>
      </c>
      <c r="H766" t="s">
        <v>501</v>
      </c>
      <c r="I766" t="s">
        <v>29</v>
      </c>
      <c r="J766">
        <v>0</v>
      </c>
      <c r="K766">
        <v>78</v>
      </c>
      <c r="L766" t="s">
        <v>451</v>
      </c>
      <c r="M766">
        <v>2578</v>
      </c>
      <c r="N766">
        <v>2.274702063761652</v>
      </c>
      <c r="O766">
        <v>10.62819236516952</v>
      </c>
      <c r="P766">
        <v>1.985532810911536</v>
      </c>
      <c r="Q766">
        <v>13.44550290890038</v>
      </c>
      <c r="R766">
        <v>1</v>
      </c>
      <c r="S766" t="s">
        <v>437</v>
      </c>
      <c r="T766">
        <v>2019</v>
      </c>
      <c r="U766" s="1">
        <v>45901.600802198707</v>
      </c>
      <c r="V766" t="s">
        <v>32</v>
      </c>
      <c r="W766" t="s">
        <v>122</v>
      </c>
      <c r="X766">
        <v>0.9408937716230823</v>
      </c>
      <c r="Y766">
        <v>0.9408937716230823</v>
      </c>
      <c r="Z766">
        <v>-0.62819236516952337</v>
      </c>
      <c r="AA766">
        <v>2.7230411171450739</v>
      </c>
      <c r="AB766">
        <v>0.37103852322158931</v>
      </c>
    </row>
    <row r="767" spans="1:28" x14ac:dyDescent="0.25">
      <c r="A767">
        <v>8</v>
      </c>
      <c r="B767">
        <v>36</v>
      </c>
      <c r="C767">
        <v>10</v>
      </c>
      <c r="D767">
        <v>6691</v>
      </c>
      <c r="E767">
        <v>77</v>
      </c>
      <c r="F767">
        <v>9</v>
      </c>
      <c r="G767">
        <v>6.5057916846126318</v>
      </c>
      <c r="H767" t="s">
        <v>524</v>
      </c>
      <c r="I767" t="s">
        <v>35</v>
      </c>
      <c r="J767">
        <v>0</v>
      </c>
      <c r="K767">
        <v>62</v>
      </c>
      <c r="L767" t="s">
        <v>516</v>
      </c>
      <c r="M767">
        <v>2954</v>
      </c>
      <c r="N767">
        <v>8.4346818570047617</v>
      </c>
      <c r="O767">
        <v>7.2670906987041226</v>
      </c>
      <c r="P767">
        <v>7.6233297511935234</v>
      </c>
      <c r="Q767">
        <v>20.10414499044418</v>
      </c>
      <c r="R767">
        <v>3</v>
      </c>
      <c r="S767" t="s">
        <v>437</v>
      </c>
      <c r="T767">
        <v>2019</v>
      </c>
      <c r="U767" s="1">
        <v>45901.600802198707</v>
      </c>
      <c r="V767" t="s">
        <v>32</v>
      </c>
      <c r="W767" t="s">
        <v>122</v>
      </c>
      <c r="X767">
        <v>1.3760664913378899</v>
      </c>
      <c r="Y767">
        <v>1.383382751293224</v>
      </c>
      <c r="Z767">
        <v>2.7329093012958769</v>
      </c>
      <c r="AA767">
        <v>1.8889641164522679</v>
      </c>
      <c r="AB767">
        <v>0.2214076380783247</v>
      </c>
    </row>
    <row r="768" spans="1:28" x14ac:dyDescent="0.25">
      <c r="A768">
        <v>3</v>
      </c>
      <c r="B768">
        <v>33</v>
      </c>
      <c r="C768">
        <v>29</v>
      </c>
      <c r="D768">
        <v>2371</v>
      </c>
      <c r="E768">
        <v>36</v>
      </c>
      <c r="F768">
        <v>23</v>
      </c>
      <c r="G768">
        <v>23.74780763685704</v>
      </c>
      <c r="H768" t="s">
        <v>139</v>
      </c>
      <c r="I768" t="s">
        <v>29</v>
      </c>
      <c r="J768">
        <v>0</v>
      </c>
      <c r="K768">
        <v>167</v>
      </c>
      <c r="L768" t="s">
        <v>441</v>
      </c>
      <c r="M768">
        <v>2807</v>
      </c>
      <c r="N768">
        <v>3.8546391315758228</v>
      </c>
      <c r="O768">
        <v>29.838080540299419</v>
      </c>
      <c r="P768">
        <v>8.9157131966203451</v>
      </c>
      <c r="Q768">
        <v>28.635408580303189</v>
      </c>
      <c r="R768">
        <v>3</v>
      </c>
      <c r="S768" t="s">
        <v>437</v>
      </c>
      <c r="T768">
        <v>2020</v>
      </c>
      <c r="U768" s="1">
        <v>45901.600802198707</v>
      </c>
      <c r="V768" t="s">
        <v>32</v>
      </c>
      <c r="W768" t="s">
        <v>130</v>
      </c>
      <c r="X768">
        <v>0.97191238427125026</v>
      </c>
      <c r="Y768">
        <v>0.96851045585797868</v>
      </c>
      <c r="Z768">
        <v>-0.83808054029941559</v>
      </c>
      <c r="AA768">
        <v>5.3544709654435341</v>
      </c>
      <c r="AB768">
        <v>0.95668943663232897</v>
      </c>
    </row>
    <row r="769" spans="1:28" x14ac:dyDescent="0.25">
      <c r="A769">
        <v>11</v>
      </c>
      <c r="B769">
        <v>36</v>
      </c>
      <c r="C769">
        <v>24</v>
      </c>
      <c r="D769">
        <v>594</v>
      </c>
      <c r="E769">
        <v>53</v>
      </c>
      <c r="F769">
        <v>18</v>
      </c>
      <c r="G769">
        <v>18.857963435351849</v>
      </c>
      <c r="H769" t="s">
        <v>63</v>
      </c>
      <c r="I769" t="s">
        <v>29</v>
      </c>
      <c r="J769">
        <v>0</v>
      </c>
      <c r="K769">
        <v>97</v>
      </c>
      <c r="L769" t="s">
        <v>436</v>
      </c>
      <c r="M769">
        <v>2885</v>
      </c>
      <c r="N769">
        <v>8.3876069821417332</v>
      </c>
      <c r="O769">
        <v>23.425761096179489</v>
      </c>
      <c r="P769">
        <v>5.9966518981382251</v>
      </c>
      <c r="Q769">
        <v>30.672939762473099</v>
      </c>
      <c r="R769">
        <v>4</v>
      </c>
      <c r="S769" t="s">
        <v>437</v>
      </c>
      <c r="T769">
        <v>2020</v>
      </c>
      <c r="U769" s="1">
        <v>45901.600802198707</v>
      </c>
      <c r="V769" t="s">
        <v>32</v>
      </c>
      <c r="W769" t="s">
        <v>130</v>
      </c>
      <c r="X769">
        <v>1.024513137543871</v>
      </c>
      <c r="Y769">
        <v>0.95450391881959651</v>
      </c>
      <c r="Z769">
        <v>0.57423890382051468</v>
      </c>
      <c r="AA769">
        <v>3.0259965337954942</v>
      </c>
      <c r="AB769">
        <v>0.73078630802639644</v>
      </c>
    </row>
    <row r="770" spans="1:28" x14ac:dyDescent="0.25">
      <c r="A770">
        <v>8</v>
      </c>
      <c r="B770">
        <v>36</v>
      </c>
      <c r="C770">
        <v>22</v>
      </c>
      <c r="D770">
        <v>1229</v>
      </c>
      <c r="E770">
        <v>46</v>
      </c>
      <c r="F770">
        <v>20</v>
      </c>
      <c r="G770">
        <v>14.40835804492235</v>
      </c>
      <c r="H770" t="s">
        <v>490</v>
      </c>
      <c r="I770" t="s">
        <v>35</v>
      </c>
      <c r="J770">
        <v>0</v>
      </c>
      <c r="K770">
        <v>86</v>
      </c>
      <c r="L770" t="s">
        <v>482</v>
      </c>
      <c r="M770">
        <v>1434</v>
      </c>
      <c r="N770">
        <v>4.8878051098436117</v>
      </c>
      <c r="O770">
        <v>16.692212082445621</v>
      </c>
      <c r="P770">
        <v>6.238759083673358</v>
      </c>
      <c r="Q770">
        <v>23.75210902094841</v>
      </c>
      <c r="R770">
        <v>0</v>
      </c>
      <c r="S770" t="s">
        <v>437</v>
      </c>
      <c r="T770">
        <v>2020</v>
      </c>
      <c r="U770" s="1">
        <v>45901.600802198707</v>
      </c>
      <c r="V770" t="s">
        <v>32</v>
      </c>
      <c r="W770" t="s">
        <v>130</v>
      </c>
      <c r="X770">
        <v>1.3179798993289999</v>
      </c>
      <c r="Y770">
        <v>1.38808321792421</v>
      </c>
      <c r="Z770">
        <v>5.3077879175543794</v>
      </c>
      <c r="AA770">
        <v>5.3974895397489533</v>
      </c>
      <c r="AB770">
        <v>1.0476283733752481</v>
      </c>
    </row>
    <row r="771" spans="1:28" x14ac:dyDescent="0.25">
      <c r="A771">
        <v>3</v>
      </c>
      <c r="B771">
        <v>37</v>
      </c>
      <c r="C771">
        <v>21</v>
      </c>
      <c r="D771">
        <v>7084</v>
      </c>
      <c r="E771">
        <v>18</v>
      </c>
      <c r="F771">
        <v>15</v>
      </c>
      <c r="G771">
        <v>13.90883630048484</v>
      </c>
      <c r="H771" t="s">
        <v>525</v>
      </c>
      <c r="I771" t="s">
        <v>29</v>
      </c>
      <c r="J771">
        <v>0</v>
      </c>
      <c r="K771">
        <v>86</v>
      </c>
      <c r="L771" t="s">
        <v>473</v>
      </c>
      <c r="M771">
        <v>2945</v>
      </c>
      <c r="N771">
        <v>2.2961632944643502</v>
      </c>
      <c r="O771">
        <v>18.476590227335691</v>
      </c>
      <c r="P771">
        <v>1.5626247003674509</v>
      </c>
      <c r="Q771">
        <v>14.827188201248649</v>
      </c>
      <c r="R771">
        <v>1</v>
      </c>
      <c r="S771" t="s">
        <v>437</v>
      </c>
      <c r="T771">
        <v>2020</v>
      </c>
      <c r="U771" s="1">
        <v>45901.600802198707</v>
      </c>
      <c r="V771" t="s">
        <v>32</v>
      </c>
      <c r="W771" t="s">
        <v>130</v>
      </c>
      <c r="X771">
        <v>1.1365733472256681</v>
      </c>
      <c r="Y771">
        <v>1.07845111380577</v>
      </c>
      <c r="Z771">
        <v>2.523409772664309</v>
      </c>
      <c r="AA771">
        <v>2.6281833616298811</v>
      </c>
      <c r="AB771">
        <v>0.56464961645508061</v>
      </c>
    </row>
    <row r="772" spans="1:28" x14ac:dyDescent="0.25">
      <c r="A772">
        <v>6</v>
      </c>
      <c r="B772">
        <v>35</v>
      </c>
      <c r="C772">
        <v>20</v>
      </c>
      <c r="D772">
        <v>1209</v>
      </c>
      <c r="E772">
        <v>54</v>
      </c>
      <c r="F772">
        <v>16</v>
      </c>
      <c r="G772">
        <v>13.68072753213346</v>
      </c>
      <c r="H772" t="s">
        <v>477</v>
      </c>
      <c r="I772" t="s">
        <v>29</v>
      </c>
      <c r="J772">
        <v>1</v>
      </c>
      <c r="K772">
        <v>119</v>
      </c>
      <c r="L772" t="s">
        <v>459</v>
      </c>
      <c r="M772">
        <v>2887</v>
      </c>
      <c r="N772">
        <v>7.2025872142985463</v>
      </c>
      <c r="O772">
        <v>19.77111872844398</v>
      </c>
      <c r="P772">
        <v>4.9698754474520683</v>
      </c>
      <c r="Q772">
        <v>24.116883251816031</v>
      </c>
      <c r="R772">
        <v>3</v>
      </c>
      <c r="S772" t="s">
        <v>437</v>
      </c>
      <c r="T772">
        <v>2020</v>
      </c>
      <c r="U772" s="1">
        <v>45901.600802198707</v>
      </c>
      <c r="V772" t="s">
        <v>32</v>
      </c>
      <c r="W772" t="s">
        <v>130</v>
      </c>
      <c r="X772">
        <v>1.011576546309781</v>
      </c>
      <c r="Y772">
        <v>1.1695284452101691</v>
      </c>
      <c r="Z772">
        <v>0.22888127155601981</v>
      </c>
      <c r="AA772">
        <v>3.7097332871492901</v>
      </c>
      <c r="AB772">
        <v>0.61634938883268386</v>
      </c>
    </row>
    <row r="773" spans="1:28" x14ac:dyDescent="0.25">
      <c r="A773">
        <v>2</v>
      </c>
      <c r="B773">
        <v>38</v>
      </c>
      <c r="C773">
        <v>20</v>
      </c>
      <c r="D773">
        <v>1362</v>
      </c>
      <c r="E773">
        <v>27</v>
      </c>
      <c r="F773">
        <v>12</v>
      </c>
      <c r="G773">
        <v>11.38356663659215</v>
      </c>
      <c r="H773" t="s">
        <v>526</v>
      </c>
      <c r="I773" t="s">
        <v>29</v>
      </c>
      <c r="J773">
        <v>0</v>
      </c>
      <c r="K773">
        <v>64</v>
      </c>
      <c r="L773" t="s">
        <v>527</v>
      </c>
      <c r="M773">
        <v>2935</v>
      </c>
      <c r="N773">
        <v>1.525829304009676</v>
      </c>
      <c r="O773">
        <v>17.473879955708981</v>
      </c>
      <c r="P773">
        <v>2.165550235658884</v>
      </c>
      <c r="Q773">
        <v>13.730488548055289</v>
      </c>
      <c r="R773">
        <v>1</v>
      </c>
      <c r="S773" t="s">
        <v>437</v>
      </c>
      <c r="T773">
        <v>2020</v>
      </c>
      <c r="U773" s="1">
        <v>45901.600802198707</v>
      </c>
      <c r="V773" t="s">
        <v>32</v>
      </c>
      <c r="W773" t="s">
        <v>130</v>
      </c>
      <c r="X773">
        <v>1.1445654915046899</v>
      </c>
      <c r="Y773">
        <v>1.0541511622048529</v>
      </c>
      <c r="Z773">
        <v>2.526120044291019</v>
      </c>
      <c r="AA773">
        <v>1.9625212947189099</v>
      </c>
      <c r="AB773">
        <v>0.53582596116313741</v>
      </c>
    </row>
    <row r="774" spans="1:28" x14ac:dyDescent="0.25">
      <c r="A774">
        <v>7</v>
      </c>
      <c r="B774">
        <v>35</v>
      </c>
      <c r="C774">
        <v>19</v>
      </c>
      <c r="D774">
        <v>1393</v>
      </c>
      <c r="E774">
        <v>63</v>
      </c>
      <c r="F774">
        <v>12</v>
      </c>
      <c r="G774">
        <v>11.257102621719239</v>
      </c>
      <c r="H774" t="s">
        <v>471</v>
      </c>
      <c r="I774" t="s">
        <v>35</v>
      </c>
      <c r="J774">
        <v>1</v>
      </c>
      <c r="K774">
        <v>144</v>
      </c>
      <c r="L774" t="s">
        <v>443</v>
      </c>
      <c r="M774">
        <v>2888</v>
      </c>
      <c r="N774">
        <v>9.1220060661435127</v>
      </c>
      <c r="O774">
        <v>17.347502633929249</v>
      </c>
      <c r="P774">
        <v>12.54644486680627</v>
      </c>
      <c r="Q774">
        <v>27.06416542828083</v>
      </c>
      <c r="R774">
        <v>2</v>
      </c>
      <c r="S774" t="s">
        <v>437</v>
      </c>
      <c r="T774">
        <v>2020</v>
      </c>
      <c r="U774" s="1">
        <v>45901.600802198707</v>
      </c>
      <c r="V774" t="s">
        <v>32</v>
      </c>
      <c r="W774" t="s">
        <v>130</v>
      </c>
      <c r="X774">
        <v>1.095258516510538</v>
      </c>
      <c r="Y774">
        <v>1.065993657803868</v>
      </c>
      <c r="Z774">
        <v>1.6524973660707469</v>
      </c>
      <c r="AA774">
        <v>4.4875346260387818</v>
      </c>
      <c r="AB774">
        <v>0.54060776906289221</v>
      </c>
    </row>
    <row r="775" spans="1:28" x14ac:dyDescent="0.25">
      <c r="A775">
        <v>6</v>
      </c>
      <c r="B775">
        <v>38</v>
      </c>
      <c r="C775">
        <v>17</v>
      </c>
      <c r="D775">
        <v>7006</v>
      </c>
      <c r="E775">
        <v>38</v>
      </c>
      <c r="F775">
        <v>15</v>
      </c>
      <c r="G775">
        <v>15.36459796503186</v>
      </c>
      <c r="H775" t="s">
        <v>517</v>
      </c>
      <c r="I775" t="s">
        <v>35</v>
      </c>
      <c r="J775">
        <v>0</v>
      </c>
      <c r="K775">
        <v>109</v>
      </c>
      <c r="L775" t="s">
        <v>436</v>
      </c>
      <c r="M775">
        <v>2598</v>
      </c>
      <c r="N775">
        <v>6.3103544022887954</v>
      </c>
      <c r="O775">
        <v>16.887195516377691</v>
      </c>
      <c r="P775">
        <v>3.861114393919705</v>
      </c>
      <c r="Q775">
        <v>23.094205345958471</v>
      </c>
      <c r="R775">
        <v>5</v>
      </c>
      <c r="S775" t="s">
        <v>437</v>
      </c>
      <c r="T775">
        <v>2020</v>
      </c>
      <c r="U775" s="1">
        <v>45901.600802198707</v>
      </c>
      <c r="V775" t="s">
        <v>32</v>
      </c>
      <c r="W775" t="s">
        <v>130</v>
      </c>
      <c r="X775">
        <v>1.0066798826076779</v>
      </c>
      <c r="Y775">
        <v>0.97627025673814261</v>
      </c>
      <c r="Z775">
        <v>0.1128044836223125</v>
      </c>
      <c r="AA775">
        <v>3.7759815242494228</v>
      </c>
      <c r="AB775">
        <v>0.58500677308467741</v>
      </c>
    </row>
    <row r="776" spans="1:28" x14ac:dyDescent="0.25">
      <c r="A776">
        <v>3</v>
      </c>
      <c r="B776">
        <v>37</v>
      </c>
      <c r="C776">
        <v>16</v>
      </c>
      <c r="D776">
        <v>1592</v>
      </c>
      <c r="E776">
        <v>38</v>
      </c>
      <c r="F776">
        <v>12</v>
      </c>
      <c r="G776">
        <v>9.4831532966345566</v>
      </c>
      <c r="H776" t="s">
        <v>191</v>
      </c>
      <c r="I776" t="s">
        <v>49</v>
      </c>
      <c r="J776">
        <v>0</v>
      </c>
      <c r="K776">
        <v>75</v>
      </c>
      <c r="L776" t="s">
        <v>480</v>
      </c>
      <c r="M776">
        <v>3273</v>
      </c>
      <c r="N776">
        <v>5.2961036842316389</v>
      </c>
      <c r="O776">
        <v>13.289643744006749</v>
      </c>
      <c r="P776">
        <v>6.2814965723082423</v>
      </c>
      <c r="Q776">
        <v>17.200943096540868</v>
      </c>
      <c r="R776">
        <v>4</v>
      </c>
      <c r="S776" t="s">
        <v>437</v>
      </c>
      <c r="T776">
        <v>2020</v>
      </c>
      <c r="U776" s="1">
        <v>45901.600802198707</v>
      </c>
      <c r="V776" t="s">
        <v>32</v>
      </c>
      <c r="W776" t="s">
        <v>130</v>
      </c>
      <c r="X776">
        <v>1.2039449896627621</v>
      </c>
      <c r="Y776">
        <v>1.265401878957144</v>
      </c>
      <c r="Z776">
        <v>2.7103562559932488</v>
      </c>
      <c r="AA776">
        <v>2.062328139321723</v>
      </c>
      <c r="AB776">
        <v>0.36543475006434689</v>
      </c>
    </row>
    <row r="777" spans="1:28" x14ac:dyDescent="0.25">
      <c r="A777">
        <v>9</v>
      </c>
      <c r="B777">
        <v>37</v>
      </c>
      <c r="C777">
        <v>15</v>
      </c>
      <c r="D777">
        <v>1148</v>
      </c>
      <c r="E777">
        <v>42</v>
      </c>
      <c r="F777">
        <v>14</v>
      </c>
      <c r="G777">
        <v>17.277340568602089</v>
      </c>
      <c r="H777" t="s">
        <v>496</v>
      </c>
      <c r="I777" t="s">
        <v>35</v>
      </c>
      <c r="J777">
        <v>0</v>
      </c>
      <c r="K777">
        <v>98</v>
      </c>
      <c r="L777" t="s">
        <v>482</v>
      </c>
      <c r="M777">
        <v>2407</v>
      </c>
      <c r="N777">
        <v>6.0840689335018396</v>
      </c>
      <c r="O777">
        <v>18.038639858365059</v>
      </c>
      <c r="P777">
        <v>7.6286894716322422</v>
      </c>
      <c r="Q777">
        <v>27.76100213453174</v>
      </c>
      <c r="R777">
        <v>0</v>
      </c>
      <c r="S777" t="s">
        <v>437</v>
      </c>
      <c r="T777">
        <v>2020</v>
      </c>
      <c r="U777" s="1">
        <v>45901.600802198707</v>
      </c>
      <c r="V777" t="s">
        <v>32</v>
      </c>
      <c r="W777" t="s">
        <v>130</v>
      </c>
      <c r="X777">
        <v>0.83154828289584426</v>
      </c>
      <c r="Y777">
        <v>0.81030989372531337</v>
      </c>
      <c r="Z777">
        <v>-3.0386398583650589</v>
      </c>
      <c r="AA777">
        <v>3.6643124221022019</v>
      </c>
      <c r="AB777">
        <v>0.6744817562330101</v>
      </c>
    </row>
    <row r="778" spans="1:28" x14ac:dyDescent="0.25">
      <c r="A778">
        <v>2</v>
      </c>
      <c r="B778">
        <v>19</v>
      </c>
      <c r="C778">
        <v>15</v>
      </c>
      <c r="D778">
        <v>1741</v>
      </c>
      <c r="E778">
        <v>19</v>
      </c>
      <c r="F778">
        <v>12</v>
      </c>
      <c r="G778">
        <v>11.687309190630909</v>
      </c>
      <c r="H778" t="s">
        <v>86</v>
      </c>
      <c r="I778" t="s">
        <v>29</v>
      </c>
      <c r="J778">
        <v>1</v>
      </c>
      <c r="K778">
        <v>80</v>
      </c>
      <c r="L778" t="s">
        <v>445</v>
      </c>
      <c r="M778">
        <v>1503</v>
      </c>
      <c r="N778">
        <v>1.416375385597348</v>
      </c>
      <c r="O778">
        <v>16.25498424470425</v>
      </c>
      <c r="P778">
        <v>3.006430067121983</v>
      </c>
      <c r="Q778">
        <v>11.79189470410347</v>
      </c>
      <c r="R778">
        <v>2</v>
      </c>
      <c r="S778" t="s">
        <v>437</v>
      </c>
      <c r="T778">
        <v>2020</v>
      </c>
      <c r="U778" s="1">
        <v>45901.600802198707</v>
      </c>
      <c r="V778" t="s">
        <v>32</v>
      </c>
      <c r="W778" t="s">
        <v>130</v>
      </c>
      <c r="X778">
        <v>0.92279388119904759</v>
      </c>
      <c r="Y778">
        <v>1.0267547306457641</v>
      </c>
      <c r="Z778">
        <v>-1.254984244704247</v>
      </c>
      <c r="AA778">
        <v>4.7904191616766463</v>
      </c>
      <c r="AB778">
        <v>0.97335234998229014</v>
      </c>
    </row>
    <row r="779" spans="1:28" x14ac:dyDescent="0.25">
      <c r="A779">
        <v>10</v>
      </c>
      <c r="B779">
        <v>34</v>
      </c>
      <c r="C779">
        <v>13</v>
      </c>
      <c r="D779">
        <v>317</v>
      </c>
      <c r="E779">
        <v>48</v>
      </c>
      <c r="F779">
        <v>12</v>
      </c>
      <c r="G779">
        <v>11.655360467731949</v>
      </c>
      <c r="H779" t="s">
        <v>359</v>
      </c>
      <c r="I779" t="s">
        <v>35</v>
      </c>
      <c r="J779">
        <v>0</v>
      </c>
      <c r="K779">
        <v>82</v>
      </c>
      <c r="L779" t="s">
        <v>467</v>
      </c>
      <c r="M779">
        <v>2752</v>
      </c>
      <c r="N779">
        <v>8.9478904660791159</v>
      </c>
      <c r="O779">
        <v>12.416659481823441</v>
      </c>
      <c r="P779">
        <v>10.10094826575369</v>
      </c>
      <c r="Q779">
        <v>28.586254842579361</v>
      </c>
      <c r="R779">
        <v>2</v>
      </c>
      <c r="S779" t="s">
        <v>437</v>
      </c>
      <c r="T779">
        <v>2020</v>
      </c>
      <c r="U779" s="1">
        <v>45901.600802198707</v>
      </c>
      <c r="V779" t="s">
        <v>32</v>
      </c>
      <c r="W779" t="s">
        <v>130</v>
      </c>
      <c r="X779">
        <v>1.0469804716019231</v>
      </c>
      <c r="Y779">
        <v>1.029569186918087</v>
      </c>
      <c r="Z779">
        <v>0.58334051817655563</v>
      </c>
      <c r="AA779">
        <v>2.6816860465116279</v>
      </c>
      <c r="AB779">
        <v>0.40606807898405162</v>
      </c>
    </row>
    <row r="780" spans="1:28" x14ac:dyDescent="0.25">
      <c r="A780">
        <v>6</v>
      </c>
      <c r="B780">
        <v>35</v>
      </c>
      <c r="C780">
        <v>13</v>
      </c>
      <c r="D780">
        <v>1186</v>
      </c>
      <c r="E780">
        <v>38</v>
      </c>
      <c r="F780">
        <v>9</v>
      </c>
      <c r="G780">
        <v>9.7631187811493874</v>
      </c>
      <c r="H780" t="s">
        <v>470</v>
      </c>
      <c r="I780" t="s">
        <v>29</v>
      </c>
      <c r="J780">
        <v>0</v>
      </c>
      <c r="K780">
        <v>106</v>
      </c>
      <c r="L780" t="s">
        <v>455</v>
      </c>
      <c r="M780">
        <v>2915</v>
      </c>
      <c r="N780">
        <v>7.0659844279289246</v>
      </c>
      <c r="O780">
        <v>13.569569863379</v>
      </c>
      <c r="P780">
        <v>1.8111441032961011</v>
      </c>
      <c r="Q780">
        <v>16.292984148487449</v>
      </c>
      <c r="R780">
        <v>4</v>
      </c>
      <c r="S780" t="s">
        <v>437</v>
      </c>
      <c r="T780">
        <v>2020</v>
      </c>
      <c r="U780" s="1">
        <v>45901.600802198707</v>
      </c>
      <c r="V780" t="s">
        <v>32</v>
      </c>
      <c r="W780" t="s">
        <v>130</v>
      </c>
      <c r="X780">
        <v>0.95802594561850241</v>
      </c>
      <c r="Y780">
        <v>0.92183657719879264</v>
      </c>
      <c r="Z780">
        <v>-0.56956986337900162</v>
      </c>
      <c r="AA780">
        <v>3.272727272727272</v>
      </c>
      <c r="AB780">
        <v>0.41895756010432589</v>
      </c>
    </row>
    <row r="781" spans="1:28" x14ac:dyDescent="0.25">
      <c r="A781">
        <v>1</v>
      </c>
      <c r="B781">
        <v>33</v>
      </c>
      <c r="C781">
        <v>13</v>
      </c>
      <c r="D781">
        <v>1230</v>
      </c>
      <c r="E781">
        <v>19</v>
      </c>
      <c r="F781">
        <v>11</v>
      </c>
      <c r="G781">
        <v>8.8099691197276115</v>
      </c>
      <c r="H781" t="s">
        <v>454</v>
      </c>
      <c r="I781" t="s">
        <v>29</v>
      </c>
      <c r="J781">
        <v>0</v>
      </c>
      <c r="K781">
        <v>83</v>
      </c>
      <c r="L781" t="s">
        <v>487</v>
      </c>
      <c r="M781">
        <v>2216</v>
      </c>
      <c r="N781">
        <v>1.4081908948719499</v>
      </c>
      <c r="O781">
        <v>11.09374114125967</v>
      </c>
      <c r="P781">
        <v>1.1652662921696899</v>
      </c>
      <c r="Q781">
        <v>10.01008710172027</v>
      </c>
      <c r="R781">
        <v>1</v>
      </c>
      <c r="S781" t="s">
        <v>437</v>
      </c>
      <c r="T781">
        <v>2020</v>
      </c>
      <c r="U781" s="1">
        <v>45901.600802198707</v>
      </c>
      <c r="V781" t="s">
        <v>32</v>
      </c>
      <c r="W781" t="s">
        <v>130</v>
      </c>
      <c r="X781">
        <v>1.1718319216635229</v>
      </c>
      <c r="Y781">
        <v>1.2485855342407941</v>
      </c>
      <c r="Z781">
        <v>1.90625885874033</v>
      </c>
      <c r="AA781">
        <v>3.3709386281588452</v>
      </c>
      <c r="AB781">
        <v>0.45055807884177362</v>
      </c>
    </row>
    <row r="782" spans="1:28" x14ac:dyDescent="0.25">
      <c r="A782">
        <v>1</v>
      </c>
      <c r="B782">
        <v>29</v>
      </c>
      <c r="C782">
        <v>11</v>
      </c>
      <c r="D782">
        <v>1580</v>
      </c>
      <c r="E782">
        <v>7</v>
      </c>
      <c r="F782">
        <v>11</v>
      </c>
      <c r="G782">
        <v>7.4821445234119892</v>
      </c>
      <c r="H782" t="s">
        <v>494</v>
      </c>
      <c r="I782" t="s">
        <v>29</v>
      </c>
      <c r="J782">
        <v>0</v>
      </c>
      <c r="K782">
        <v>37</v>
      </c>
      <c r="L782" t="s">
        <v>453</v>
      </c>
      <c r="M782">
        <v>1625</v>
      </c>
      <c r="N782">
        <v>0.58469769544899464</v>
      </c>
      <c r="O782">
        <v>7.4821445234119892</v>
      </c>
      <c r="P782">
        <v>1.2265980867668991</v>
      </c>
      <c r="Q782">
        <v>8.3298894986510277</v>
      </c>
      <c r="R782">
        <v>5</v>
      </c>
      <c r="S782" t="s">
        <v>437</v>
      </c>
      <c r="T782">
        <v>2020</v>
      </c>
      <c r="U782" s="1">
        <v>45901.600802198707</v>
      </c>
      <c r="V782" t="s">
        <v>32</v>
      </c>
      <c r="W782" t="s">
        <v>130</v>
      </c>
      <c r="X782">
        <v>1.470166737033811</v>
      </c>
      <c r="Y782">
        <v>1.470166737033811</v>
      </c>
      <c r="Z782">
        <v>3.5178554765880108</v>
      </c>
      <c r="AA782">
        <v>2.049230769230769</v>
      </c>
      <c r="AB782">
        <v>0.4143956966812794</v>
      </c>
    </row>
    <row r="783" spans="1:28" x14ac:dyDescent="0.25">
      <c r="A783">
        <v>9</v>
      </c>
      <c r="B783">
        <v>32</v>
      </c>
      <c r="C783">
        <v>11</v>
      </c>
      <c r="D783">
        <v>1804</v>
      </c>
      <c r="E783">
        <v>40</v>
      </c>
      <c r="F783">
        <v>10</v>
      </c>
      <c r="G783">
        <v>11.304317578673359</v>
      </c>
      <c r="H783" t="s">
        <v>104</v>
      </c>
      <c r="I783" t="s">
        <v>29</v>
      </c>
      <c r="J783">
        <v>1</v>
      </c>
      <c r="K783">
        <v>56</v>
      </c>
      <c r="L783" t="s">
        <v>441</v>
      </c>
      <c r="M783">
        <v>2019</v>
      </c>
      <c r="N783">
        <v>5.6705451086163521</v>
      </c>
      <c r="O783">
        <v>12.065579578280451</v>
      </c>
      <c r="P783">
        <v>4.5219556614756584</v>
      </c>
      <c r="Q783">
        <v>19.798626750707619</v>
      </c>
      <c r="R783">
        <v>3</v>
      </c>
      <c r="S783" t="s">
        <v>437</v>
      </c>
      <c r="T783">
        <v>2020</v>
      </c>
      <c r="U783" s="1">
        <v>45901.600802198707</v>
      </c>
      <c r="V783" t="s">
        <v>32</v>
      </c>
      <c r="W783" t="s">
        <v>130</v>
      </c>
      <c r="X783">
        <v>0.91168434376756968</v>
      </c>
      <c r="Y783">
        <v>0.88461775161606571</v>
      </c>
      <c r="Z783">
        <v>-1.0655795782804469</v>
      </c>
      <c r="AA783">
        <v>2.4962852897474002</v>
      </c>
      <c r="AB783">
        <v>0.53784158595603782</v>
      </c>
    </row>
    <row r="784" spans="1:28" x14ac:dyDescent="0.25">
      <c r="A784">
        <v>4</v>
      </c>
      <c r="B784">
        <v>27</v>
      </c>
      <c r="C784">
        <v>11</v>
      </c>
      <c r="D784">
        <v>1852</v>
      </c>
      <c r="E784">
        <v>38</v>
      </c>
      <c r="F784">
        <v>11</v>
      </c>
      <c r="G784">
        <v>7.2836700854822993</v>
      </c>
      <c r="H784" t="s">
        <v>522</v>
      </c>
      <c r="I784" t="s">
        <v>35</v>
      </c>
      <c r="J784">
        <v>1</v>
      </c>
      <c r="K784">
        <v>43</v>
      </c>
      <c r="L784" t="s">
        <v>445</v>
      </c>
      <c r="M784">
        <v>1783</v>
      </c>
      <c r="N784">
        <v>6.7001960482448339</v>
      </c>
      <c r="O784">
        <v>7.2836700854822993</v>
      </c>
      <c r="P784">
        <v>2.4273168537765741</v>
      </c>
      <c r="Q784">
        <v>14.17434155195952</v>
      </c>
      <c r="R784">
        <v>4</v>
      </c>
      <c r="S784" t="s">
        <v>437</v>
      </c>
      <c r="T784">
        <v>2020</v>
      </c>
      <c r="U784" s="1">
        <v>45901.600802198707</v>
      </c>
      <c r="V784" t="s">
        <v>32</v>
      </c>
      <c r="W784" t="s">
        <v>130</v>
      </c>
      <c r="X784">
        <v>1.5102276559622101</v>
      </c>
      <c r="Y784">
        <v>1.5102276559622101</v>
      </c>
      <c r="Z784">
        <v>3.7163299145177011</v>
      </c>
      <c r="AA784">
        <v>2.1704991587212561</v>
      </c>
      <c r="AB784">
        <v>0.36765580913819801</v>
      </c>
    </row>
    <row r="785" spans="1:28" x14ac:dyDescent="0.25">
      <c r="A785">
        <v>5</v>
      </c>
      <c r="B785">
        <v>25</v>
      </c>
      <c r="C785">
        <v>11</v>
      </c>
      <c r="D785">
        <v>6980</v>
      </c>
      <c r="E785">
        <v>17</v>
      </c>
      <c r="F785">
        <v>8</v>
      </c>
      <c r="G785">
        <v>8.3773642387241125</v>
      </c>
      <c r="H785" t="s">
        <v>513</v>
      </c>
      <c r="I785" t="s">
        <v>29</v>
      </c>
      <c r="J785">
        <v>0</v>
      </c>
      <c r="K785">
        <v>43</v>
      </c>
      <c r="L785" t="s">
        <v>449</v>
      </c>
      <c r="M785">
        <v>1703</v>
      </c>
      <c r="N785">
        <v>2.444154467433691</v>
      </c>
      <c r="O785">
        <v>10.66126719675958</v>
      </c>
      <c r="P785">
        <v>2.2344673108309512</v>
      </c>
      <c r="Q785">
        <v>11.61442737095058</v>
      </c>
      <c r="R785">
        <v>1</v>
      </c>
      <c r="S785" t="s">
        <v>437</v>
      </c>
      <c r="T785">
        <v>2020</v>
      </c>
      <c r="U785" s="1">
        <v>45901.600802198707</v>
      </c>
      <c r="V785" t="s">
        <v>32</v>
      </c>
      <c r="W785" t="s">
        <v>130</v>
      </c>
      <c r="X785">
        <v>1.0317722834433201</v>
      </c>
      <c r="Y785">
        <v>0.95495429970923817</v>
      </c>
      <c r="Z785">
        <v>0.33873280324041838</v>
      </c>
      <c r="AA785">
        <v>2.2724603640634178</v>
      </c>
      <c r="AB785">
        <v>0.56342574733315465</v>
      </c>
    </row>
    <row r="786" spans="1:28" x14ac:dyDescent="0.25">
      <c r="A786">
        <v>3</v>
      </c>
      <c r="B786">
        <v>32</v>
      </c>
      <c r="C786">
        <v>11</v>
      </c>
      <c r="D786">
        <v>7999</v>
      </c>
      <c r="E786">
        <v>35</v>
      </c>
      <c r="F786">
        <v>11</v>
      </c>
      <c r="G786">
        <v>11.04879554733634</v>
      </c>
      <c r="H786" t="s">
        <v>528</v>
      </c>
      <c r="I786" t="s">
        <v>35</v>
      </c>
      <c r="J786">
        <v>0</v>
      </c>
      <c r="K786">
        <v>60</v>
      </c>
      <c r="L786" t="s">
        <v>443</v>
      </c>
      <c r="M786">
        <v>1977</v>
      </c>
      <c r="N786">
        <v>5.1345712691545486</v>
      </c>
      <c r="O786">
        <v>11.04879554733634</v>
      </c>
      <c r="P786">
        <v>5.182013189420104</v>
      </c>
      <c r="Q786">
        <v>18.90437138825655</v>
      </c>
      <c r="R786">
        <v>6</v>
      </c>
      <c r="S786" t="s">
        <v>437</v>
      </c>
      <c r="T786">
        <v>2020</v>
      </c>
      <c r="U786" s="1">
        <v>45901.600802198707</v>
      </c>
      <c r="V786" t="s">
        <v>32</v>
      </c>
      <c r="W786" t="s">
        <v>130</v>
      </c>
      <c r="X786">
        <v>0.99558363197804822</v>
      </c>
      <c r="Y786">
        <v>0.99558363197804822</v>
      </c>
      <c r="Z786">
        <v>-4.8795547336339951E-2</v>
      </c>
      <c r="AA786">
        <v>2.7314112291350532</v>
      </c>
      <c r="AB786">
        <v>0.50298007044019755</v>
      </c>
    </row>
    <row r="787" spans="1:28" x14ac:dyDescent="0.25">
      <c r="A787">
        <v>3</v>
      </c>
      <c r="B787">
        <v>25</v>
      </c>
      <c r="C787">
        <v>11</v>
      </c>
      <c r="D787">
        <v>9018</v>
      </c>
      <c r="E787">
        <v>22</v>
      </c>
      <c r="F787">
        <v>7</v>
      </c>
      <c r="G787">
        <v>6.3318168483674526</v>
      </c>
      <c r="H787" t="s">
        <v>529</v>
      </c>
      <c r="I787" t="s">
        <v>29</v>
      </c>
      <c r="J787">
        <v>0</v>
      </c>
      <c r="K787">
        <v>45</v>
      </c>
      <c r="L787" t="s">
        <v>530</v>
      </c>
      <c r="M787">
        <v>1900</v>
      </c>
      <c r="N787">
        <v>2.4146384298801422</v>
      </c>
      <c r="O787">
        <v>9.3770239613950235</v>
      </c>
      <c r="P787">
        <v>2.7920549605041738</v>
      </c>
      <c r="Q787">
        <v>10.097772940993311</v>
      </c>
      <c r="R787">
        <v>5</v>
      </c>
      <c r="S787" t="s">
        <v>437</v>
      </c>
      <c r="T787">
        <v>2020</v>
      </c>
      <c r="U787" s="1">
        <v>45901.600802198707</v>
      </c>
      <c r="V787" t="s">
        <v>32</v>
      </c>
      <c r="W787" t="s">
        <v>130</v>
      </c>
      <c r="X787">
        <v>1.1730800779956121</v>
      </c>
      <c r="Y787">
        <v>1.1055278710098551</v>
      </c>
      <c r="Z787">
        <v>1.622976038604977</v>
      </c>
      <c r="AA787">
        <v>2.1315789473684208</v>
      </c>
      <c r="AB787">
        <v>0.44417481922397478</v>
      </c>
    </row>
    <row r="788" spans="1:28" x14ac:dyDescent="0.25">
      <c r="A788">
        <v>2</v>
      </c>
      <c r="B788">
        <v>31</v>
      </c>
      <c r="C788">
        <v>10</v>
      </c>
      <c r="D788">
        <v>2252</v>
      </c>
      <c r="E788">
        <v>23</v>
      </c>
      <c r="F788">
        <v>10</v>
      </c>
      <c r="G788">
        <v>7.8143330831080684</v>
      </c>
      <c r="H788" t="s">
        <v>307</v>
      </c>
      <c r="I788" t="s">
        <v>35</v>
      </c>
      <c r="J788">
        <v>0</v>
      </c>
      <c r="K788">
        <v>39</v>
      </c>
      <c r="L788" t="s">
        <v>467</v>
      </c>
      <c r="M788">
        <v>1544</v>
      </c>
      <c r="N788">
        <v>2.110669731162488</v>
      </c>
      <c r="O788">
        <v>7.8143330831080684</v>
      </c>
      <c r="P788">
        <v>3.7512070126831532</v>
      </c>
      <c r="Q788">
        <v>11.527097957208751</v>
      </c>
      <c r="R788">
        <v>1</v>
      </c>
      <c r="S788" t="s">
        <v>437</v>
      </c>
      <c r="T788">
        <v>2020</v>
      </c>
      <c r="U788" s="1">
        <v>45901.600802198707</v>
      </c>
      <c r="V788" t="s">
        <v>32</v>
      </c>
      <c r="W788" t="s">
        <v>130</v>
      </c>
      <c r="X788">
        <v>1.2796997381154129</v>
      </c>
      <c r="Y788">
        <v>1.2796997381154129</v>
      </c>
      <c r="Z788">
        <v>2.185666916891932</v>
      </c>
      <c r="AA788">
        <v>2.2733160621761659</v>
      </c>
      <c r="AB788">
        <v>0.45549869007754279</v>
      </c>
    </row>
    <row r="789" spans="1:28" x14ac:dyDescent="0.25">
      <c r="A789">
        <v>3</v>
      </c>
      <c r="B789">
        <v>24</v>
      </c>
      <c r="C789">
        <v>10</v>
      </c>
      <c r="D789">
        <v>5322</v>
      </c>
      <c r="E789">
        <v>25</v>
      </c>
      <c r="F789">
        <v>10</v>
      </c>
      <c r="G789">
        <v>10.59977215901017</v>
      </c>
      <c r="H789" t="s">
        <v>531</v>
      </c>
      <c r="I789" t="s">
        <v>29</v>
      </c>
      <c r="J789">
        <v>0</v>
      </c>
      <c r="K789">
        <v>66</v>
      </c>
      <c r="L789" t="s">
        <v>443</v>
      </c>
      <c r="M789">
        <v>1576</v>
      </c>
      <c r="N789">
        <v>3.3142699841409922</v>
      </c>
      <c r="O789">
        <v>10.59977215901017</v>
      </c>
      <c r="P789">
        <v>2.887285934761167</v>
      </c>
      <c r="Q789">
        <v>13.79454967007041</v>
      </c>
      <c r="R789">
        <v>4</v>
      </c>
      <c r="S789" t="s">
        <v>437</v>
      </c>
      <c r="T789">
        <v>2020</v>
      </c>
      <c r="U789" s="1">
        <v>45901.600802198707</v>
      </c>
      <c r="V789" t="s">
        <v>32</v>
      </c>
      <c r="W789" t="s">
        <v>130</v>
      </c>
      <c r="X789">
        <v>0.94341650461794646</v>
      </c>
      <c r="Y789">
        <v>0.94341650461794646</v>
      </c>
      <c r="Z789">
        <v>-0.59977215901017189</v>
      </c>
      <c r="AA789">
        <v>3.7690355329949239</v>
      </c>
      <c r="AB789">
        <v>0.60531693801454023</v>
      </c>
    </row>
    <row r="790" spans="1:28" x14ac:dyDescent="0.25">
      <c r="A790">
        <v>2</v>
      </c>
      <c r="B790">
        <v>31</v>
      </c>
      <c r="C790">
        <v>27</v>
      </c>
      <c r="D790">
        <v>1209</v>
      </c>
      <c r="E790">
        <v>27</v>
      </c>
      <c r="F790">
        <v>20</v>
      </c>
      <c r="G790">
        <v>15.51312769204378</v>
      </c>
      <c r="H790" t="s">
        <v>477</v>
      </c>
      <c r="I790" t="s">
        <v>32</v>
      </c>
      <c r="J790">
        <v>0</v>
      </c>
      <c r="K790">
        <v>118</v>
      </c>
      <c r="L790" t="s">
        <v>459</v>
      </c>
      <c r="M790">
        <v>2731</v>
      </c>
      <c r="N790">
        <v>2.5868874872103329</v>
      </c>
      <c r="O790">
        <v>22.364816416054961</v>
      </c>
      <c r="P790">
        <v>4.5415991684421897</v>
      </c>
      <c r="Q790">
        <v>20.604711312800649</v>
      </c>
      <c r="R790">
        <v>4</v>
      </c>
      <c r="S790" t="s">
        <v>437</v>
      </c>
      <c r="T790">
        <v>2021</v>
      </c>
      <c r="U790" s="1">
        <v>45901.600802198707</v>
      </c>
      <c r="V790" t="s">
        <v>32</v>
      </c>
      <c r="W790" t="s">
        <v>138</v>
      </c>
      <c r="X790">
        <v>1.2072533705493591</v>
      </c>
      <c r="Y790">
        <v>1.2892306694708251</v>
      </c>
      <c r="Z790">
        <v>4.6351835839450359</v>
      </c>
      <c r="AA790">
        <v>3.888685463200293</v>
      </c>
      <c r="AB790">
        <v>0.7370316651208153</v>
      </c>
    </row>
    <row r="791" spans="1:28" x14ac:dyDescent="0.25">
      <c r="A791">
        <v>3</v>
      </c>
      <c r="B791">
        <v>36</v>
      </c>
      <c r="C791">
        <v>24</v>
      </c>
      <c r="D791">
        <v>7084</v>
      </c>
      <c r="E791">
        <v>29</v>
      </c>
      <c r="F791">
        <v>19</v>
      </c>
      <c r="G791">
        <v>13.664370813407</v>
      </c>
      <c r="H791" t="s">
        <v>525</v>
      </c>
      <c r="I791" t="s">
        <v>29</v>
      </c>
      <c r="J791">
        <v>0</v>
      </c>
      <c r="K791">
        <v>119</v>
      </c>
      <c r="L791" t="s">
        <v>532</v>
      </c>
      <c r="M791">
        <v>2948</v>
      </c>
      <c r="N791">
        <v>3.1176402978599072</v>
      </c>
      <c r="O791">
        <v>18.232162565924231</v>
      </c>
      <c r="P791">
        <v>5.1767825502902269</v>
      </c>
      <c r="Q791">
        <v>19.07837056368589</v>
      </c>
      <c r="R791">
        <v>4</v>
      </c>
      <c r="S791" t="s">
        <v>437</v>
      </c>
      <c r="T791">
        <v>2021</v>
      </c>
      <c r="U791" s="1">
        <v>45901.600802198707</v>
      </c>
      <c r="V791" t="s">
        <v>32</v>
      </c>
      <c r="W791" t="s">
        <v>138</v>
      </c>
      <c r="X791">
        <v>1.3163550902543959</v>
      </c>
      <c r="Y791">
        <v>1.3904774877272701</v>
      </c>
      <c r="Z791">
        <v>5.7678374340757728</v>
      </c>
      <c r="AA791">
        <v>3.6329715061058341</v>
      </c>
      <c r="AB791">
        <v>0.55661283274531226</v>
      </c>
    </row>
    <row r="792" spans="1:28" x14ac:dyDescent="0.25">
      <c r="A792">
        <v>3</v>
      </c>
      <c r="B792">
        <v>35</v>
      </c>
      <c r="C792">
        <v>21</v>
      </c>
      <c r="D792">
        <v>7006</v>
      </c>
      <c r="E792">
        <v>28</v>
      </c>
      <c r="F792">
        <v>18</v>
      </c>
      <c r="G792">
        <v>20.002661837264888</v>
      </c>
      <c r="H792" t="s">
        <v>517</v>
      </c>
      <c r="I792" t="s">
        <v>35</v>
      </c>
      <c r="J792">
        <v>0</v>
      </c>
      <c r="K792">
        <v>118</v>
      </c>
      <c r="L792" t="s">
        <v>436</v>
      </c>
      <c r="M792">
        <v>2334</v>
      </c>
      <c r="N792">
        <v>3.604015088640153</v>
      </c>
      <c r="O792">
        <v>24.570458827540278</v>
      </c>
      <c r="P792">
        <v>5.153754536062479</v>
      </c>
      <c r="Q792">
        <v>24.541737204417579</v>
      </c>
      <c r="R792">
        <v>6</v>
      </c>
      <c r="S792" t="s">
        <v>437</v>
      </c>
      <c r="T792">
        <v>2021</v>
      </c>
      <c r="U792" s="1">
        <v>45901.600802198707</v>
      </c>
      <c r="V792" t="s">
        <v>32</v>
      </c>
      <c r="W792" t="s">
        <v>138</v>
      </c>
      <c r="X792">
        <v>0.85468489405911052</v>
      </c>
      <c r="Y792">
        <v>0.89988023326305822</v>
      </c>
      <c r="Z792">
        <v>-3.570458827540278</v>
      </c>
      <c r="AA792">
        <v>4.5501285347043696</v>
      </c>
      <c r="AB792">
        <v>0.94744699849127034</v>
      </c>
    </row>
    <row r="793" spans="1:28" x14ac:dyDescent="0.25">
      <c r="A793">
        <v>4</v>
      </c>
      <c r="B793">
        <v>37</v>
      </c>
      <c r="C793">
        <v>17</v>
      </c>
      <c r="D793">
        <v>702</v>
      </c>
      <c r="E793">
        <v>37</v>
      </c>
      <c r="F793">
        <v>14</v>
      </c>
      <c r="G793">
        <v>18.682788232341409</v>
      </c>
      <c r="H793" t="s">
        <v>123</v>
      </c>
      <c r="I793" t="s">
        <v>29</v>
      </c>
      <c r="J793">
        <v>0</v>
      </c>
      <c r="K793">
        <v>94</v>
      </c>
      <c r="L793" t="s">
        <v>467</v>
      </c>
      <c r="M793">
        <v>3122</v>
      </c>
      <c r="N793">
        <v>4.4647114528343081</v>
      </c>
      <c r="O793">
        <v>20.96668929792941</v>
      </c>
      <c r="P793">
        <v>2.7717350060120221</v>
      </c>
      <c r="Q793">
        <v>20.722925942391161</v>
      </c>
      <c r="R793">
        <v>9</v>
      </c>
      <c r="S793" t="s">
        <v>437</v>
      </c>
      <c r="T793">
        <v>2021</v>
      </c>
      <c r="U793" s="1">
        <v>45901.600802198707</v>
      </c>
      <c r="V793" t="s">
        <v>32</v>
      </c>
      <c r="W793" t="s">
        <v>138</v>
      </c>
      <c r="X793">
        <v>0.81080993562864767</v>
      </c>
      <c r="Y793">
        <v>0.74935281746462634</v>
      </c>
      <c r="Z793">
        <v>-3.9666892979294102</v>
      </c>
      <c r="AA793">
        <v>2.7098014093529792</v>
      </c>
      <c r="AB793">
        <v>0.60442089584037373</v>
      </c>
    </row>
    <row r="794" spans="1:28" x14ac:dyDescent="0.25">
      <c r="A794">
        <v>5</v>
      </c>
      <c r="B794">
        <v>36</v>
      </c>
      <c r="C794">
        <v>17</v>
      </c>
      <c r="D794">
        <v>1102</v>
      </c>
      <c r="E794">
        <v>23</v>
      </c>
      <c r="F794">
        <v>17</v>
      </c>
      <c r="G794">
        <v>11.228109908290209</v>
      </c>
      <c r="H794" t="s">
        <v>486</v>
      </c>
      <c r="I794" t="s">
        <v>29</v>
      </c>
      <c r="J794">
        <v>0</v>
      </c>
      <c r="K794">
        <v>70</v>
      </c>
      <c r="L794" t="s">
        <v>533</v>
      </c>
      <c r="M794">
        <v>2690</v>
      </c>
      <c r="N794">
        <v>3.366605624556541</v>
      </c>
      <c r="O794">
        <v>11.989408922381701</v>
      </c>
      <c r="P794">
        <v>4.705601567402482</v>
      </c>
      <c r="Q794">
        <v>18.442930992692709</v>
      </c>
      <c r="R794">
        <v>8</v>
      </c>
      <c r="S794" t="s">
        <v>437</v>
      </c>
      <c r="T794">
        <v>2021</v>
      </c>
      <c r="U794" s="1">
        <v>45901.600802198707</v>
      </c>
      <c r="V794" t="s">
        <v>32</v>
      </c>
      <c r="W794" t="s">
        <v>138</v>
      </c>
      <c r="X794">
        <v>1.417918106727061</v>
      </c>
      <c r="Y794">
        <v>1.514057142195246</v>
      </c>
      <c r="Z794">
        <v>5.0105910776182991</v>
      </c>
      <c r="AA794">
        <v>2.3420074349442381</v>
      </c>
      <c r="AB794">
        <v>0.40113264052578179</v>
      </c>
    </row>
    <row r="795" spans="1:28" x14ac:dyDescent="0.25">
      <c r="A795">
        <v>0</v>
      </c>
      <c r="B795">
        <v>36</v>
      </c>
      <c r="C795">
        <v>16</v>
      </c>
      <c r="D795">
        <v>6253</v>
      </c>
      <c r="E795">
        <v>25</v>
      </c>
      <c r="F795">
        <v>15</v>
      </c>
      <c r="G795">
        <v>10.364581308327621</v>
      </c>
      <c r="H795" t="s">
        <v>534</v>
      </c>
      <c r="I795" t="s">
        <v>29</v>
      </c>
      <c r="J795">
        <v>0</v>
      </c>
      <c r="K795">
        <v>79</v>
      </c>
      <c r="L795" t="s">
        <v>449</v>
      </c>
      <c r="M795">
        <v>2166</v>
      </c>
      <c r="N795">
        <v>2.1559393731877212</v>
      </c>
      <c r="O795">
        <v>11.125879927538341</v>
      </c>
      <c r="P795">
        <v>5.1066609658300877</v>
      </c>
      <c r="Q795">
        <v>15.93403982929885</v>
      </c>
      <c r="R795">
        <v>7</v>
      </c>
      <c r="S795" t="s">
        <v>437</v>
      </c>
      <c r="T795">
        <v>2021</v>
      </c>
      <c r="U795" s="1">
        <v>45901.600802198707</v>
      </c>
      <c r="V795" t="s">
        <v>32</v>
      </c>
      <c r="W795" t="s">
        <v>138</v>
      </c>
      <c r="X795">
        <v>1.4380885021415191</v>
      </c>
      <c r="Y795">
        <v>1.447236463661872</v>
      </c>
      <c r="Z795">
        <v>4.8741200724616647</v>
      </c>
      <c r="AA795">
        <v>3.282548476454294</v>
      </c>
      <c r="AB795">
        <v>0.46229417981461218</v>
      </c>
    </row>
    <row r="796" spans="1:28" x14ac:dyDescent="0.25">
      <c r="A796">
        <v>15</v>
      </c>
      <c r="B796">
        <v>33</v>
      </c>
      <c r="C796">
        <v>15</v>
      </c>
      <c r="D796">
        <v>1612</v>
      </c>
      <c r="E796">
        <v>83</v>
      </c>
      <c r="F796">
        <v>9</v>
      </c>
      <c r="G796">
        <v>7.9288422437384716</v>
      </c>
      <c r="H796" t="s">
        <v>448</v>
      </c>
      <c r="I796" t="s">
        <v>49</v>
      </c>
      <c r="J796">
        <v>0</v>
      </c>
      <c r="K796">
        <v>110</v>
      </c>
      <c r="L796" t="s">
        <v>449</v>
      </c>
      <c r="M796">
        <v>2867</v>
      </c>
      <c r="N796">
        <v>9.7183809485286474</v>
      </c>
      <c r="O796">
        <v>12.496549953706561</v>
      </c>
      <c r="P796">
        <v>10.173858169466261</v>
      </c>
      <c r="Q796">
        <v>23.20406873524189</v>
      </c>
      <c r="R796">
        <v>9</v>
      </c>
      <c r="S796" t="s">
        <v>437</v>
      </c>
      <c r="T796">
        <v>2021</v>
      </c>
      <c r="U796" s="1">
        <v>45901.600802198707</v>
      </c>
      <c r="V796" t="s">
        <v>32</v>
      </c>
      <c r="W796" t="s">
        <v>138</v>
      </c>
      <c r="X796">
        <v>1.200331295883061</v>
      </c>
      <c r="Y796">
        <v>1.135096363798566</v>
      </c>
      <c r="Z796">
        <v>2.5034500462934361</v>
      </c>
      <c r="AA796">
        <v>3.453086850366236</v>
      </c>
      <c r="AB796">
        <v>0.3922879301826267</v>
      </c>
    </row>
    <row r="797" spans="1:28" x14ac:dyDescent="0.25">
      <c r="A797">
        <v>1</v>
      </c>
      <c r="B797">
        <v>33</v>
      </c>
      <c r="C797">
        <v>14</v>
      </c>
      <c r="D797">
        <v>865</v>
      </c>
      <c r="E797">
        <v>43</v>
      </c>
      <c r="F797">
        <v>12</v>
      </c>
      <c r="G797">
        <v>13.460662811994551</v>
      </c>
      <c r="H797" t="s">
        <v>80</v>
      </c>
      <c r="I797" t="s">
        <v>29</v>
      </c>
      <c r="J797">
        <v>0</v>
      </c>
      <c r="K797">
        <v>91</v>
      </c>
      <c r="L797" t="s">
        <v>495</v>
      </c>
      <c r="M797">
        <v>2712</v>
      </c>
      <c r="N797">
        <v>3.620817095041275</v>
      </c>
      <c r="O797">
        <v>15.74455884099007</v>
      </c>
      <c r="P797">
        <v>5.7628194922581324</v>
      </c>
      <c r="Q797">
        <v>18.33075999096036</v>
      </c>
      <c r="R797">
        <v>6</v>
      </c>
      <c r="S797" t="s">
        <v>437</v>
      </c>
      <c r="T797">
        <v>2021</v>
      </c>
      <c r="U797" s="1">
        <v>45901.600802198707</v>
      </c>
      <c r="V797" t="s">
        <v>32</v>
      </c>
      <c r="W797" t="s">
        <v>138</v>
      </c>
      <c r="X797">
        <v>0.88919607982611693</v>
      </c>
      <c r="Y797">
        <v>0.89148656107090196</v>
      </c>
      <c r="Z797">
        <v>-1.7445588409900681</v>
      </c>
      <c r="AA797">
        <v>3.0199115044247788</v>
      </c>
      <c r="AB797">
        <v>0.52249642171427213</v>
      </c>
    </row>
    <row r="798" spans="1:28" x14ac:dyDescent="0.25">
      <c r="A798">
        <v>2</v>
      </c>
      <c r="B798">
        <v>27</v>
      </c>
      <c r="C798">
        <v>14</v>
      </c>
      <c r="D798">
        <v>5322</v>
      </c>
      <c r="E798">
        <v>18</v>
      </c>
      <c r="F798">
        <v>14</v>
      </c>
      <c r="G798">
        <v>12.610242731869221</v>
      </c>
      <c r="H798" t="s">
        <v>531</v>
      </c>
      <c r="I798" t="s">
        <v>29</v>
      </c>
      <c r="J798">
        <v>1</v>
      </c>
      <c r="K798">
        <v>91</v>
      </c>
      <c r="L798" t="s">
        <v>443</v>
      </c>
      <c r="M798">
        <v>1983</v>
      </c>
      <c r="N798">
        <v>2.233757396228611</v>
      </c>
      <c r="O798">
        <v>12.610242731869221</v>
      </c>
      <c r="P798">
        <v>2.4785416275262842</v>
      </c>
      <c r="Q798">
        <v>14.78439392149448</v>
      </c>
      <c r="R798">
        <v>5</v>
      </c>
      <c r="S798" t="s">
        <v>437</v>
      </c>
      <c r="T798">
        <v>2021</v>
      </c>
      <c r="U798" s="1">
        <v>45901.600802198707</v>
      </c>
      <c r="V798" t="s">
        <v>32</v>
      </c>
      <c r="W798" t="s">
        <v>138</v>
      </c>
      <c r="X798">
        <v>1.110208605629653</v>
      </c>
      <c r="Y798">
        <v>1.110208605629653</v>
      </c>
      <c r="Z798">
        <v>1.389757268130779</v>
      </c>
      <c r="AA798">
        <v>4.1301059001512854</v>
      </c>
      <c r="AB798">
        <v>0.57232569131025213</v>
      </c>
    </row>
    <row r="799" spans="1:28" x14ac:dyDescent="0.25">
      <c r="A799">
        <v>5</v>
      </c>
      <c r="B799">
        <v>34</v>
      </c>
      <c r="C799">
        <v>13</v>
      </c>
      <c r="D799">
        <v>591</v>
      </c>
      <c r="E799">
        <v>82</v>
      </c>
      <c r="F799">
        <v>12</v>
      </c>
      <c r="G799">
        <v>8.343866478651762</v>
      </c>
      <c r="H799" t="s">
        <v>120</v>
      </c>
      <c r="I799" t="s">
        <v>35</v>
      </c>
      <c r="J799">
        <v>0</v>
      </c>
      <c r="K799">
        <v>78</v>
      </c>
      <c r="L799" t="s">
        <v>451</v>
      </c>
      <c r="M799">
        <v>2653</v>
      </c>
      <c r="N799">
        <v>7.8053567577153444</v>
      </c>
      <c r="O799">
        <v>9.1051654927432537</v>
      </c>
      <c r="P799">
        <v>5.2538071935996413</v>
      </c>
      <c r="Q799">
        <v>16.60325688496232</v>
      </c>
      <c r="R799">
        <v>9</v>
      </c>
      <c r="S799" t="s">
        <v>437</v>
      </c>
      <c r="T799">
        <v>2021</v>
      </c>
      <c r="U799" s="1">
        <v>45901.600802198707</v>
      </c>
      <c r="V799" t="s">
        <v>32</v>
      </c>
      <c r="W799" t="s">
        <v>138</v>
      </c>
      <c r="X799">
        <v>1.42776097923326</v>
      </c>
      <c r="Y799">
        <v>1.4381821701848481</v>
      </c>
      <c r="Z799">
        <v>3.8948345072567458</v>
      </c>
      <c r="AA799">
        <v>2.6460610629476058</v>
      </c>
      <c r="AB799">
        <v>0.30888235746207787</v>
      </c>
    </row>
    <row r="800" spans="1:28" x14ac:dyDescent="0.25">
      <c r="A800">
        <v>6</v>
      </c>
      <c r="B800">
        <v>37</v>
      </c>
      <c r="C800">
        <v>13</v>
      </c>
      <c r="D800">
        <v>1134</v>
      </c>
      <c r="E800">
        <v>39</v>
      </c>
      <c r="F800">
        <v>13</v>
      </c>
      <c r="G800">
        <v>10.01475265622139</v>
      </c>
      <c r="H800" t="s">
        <v>535</v>
      </c>
      <c r="I800" t="s">
        <v>35</v>
      </c>
      <c r="J800">
        <v>0</v>
      </c>
      <c r="K800">
        <v>50</v>
      </c>
      <c r="L800" t="s">
        <v>482</v>
      </c>
      <c r="M800">
        <v>2021</v>
      </c>
      <c r="N800">
        <v>5.6510057039558887</v>
      </c>
      <c r="O800">
        <v>10.01475265622139</v>
      </c>
      <c r="P800">
        <v>5.4832904133945704</v>
      </c>
      <c r="Q800">
        <v>18.693742573261261</v>
      </c>
      <c r="R800">
        <v>3</v>
      </c>
      <c r="S800" t="s">
        <v>437</v>
      </c>
      <c r="T800">
        <v>2021</v>
      </c>
      <c r="U800" s="1">
        <v>45901.600802198707</v>
      </c>
      <c r="V800" t="s">
        <v>32</v>
      </c>
      <c r="W800" t="s">
        <v>138</v>
      </c>
      <c r="X800">
        <v>1.298084979854605</v>
      </c>
      <c r="Y800">
        <v>1.298084979854605</v>
      </c>
      <c r="Z800">
        <v>2.9852473437786098</v>
      </c>
      <c r="AA800">
        <v>2.226620484908461</v>
      </c>
      <c r="AB800">
        <v>0.44598106831267942</v>
      </c>
    </row>
    <row r="801" spans="1:28" x14ac:dyDescent="0.25">
      <c r="A801">
        <v>5</v>
      </c>
      <c r="B801">
        <v>36</v>
      </c>
      <c r="C801">
        <v>13</v>
      </c>
      <c r="D801">
        <v>1253</v>
      </c>
      <c r="E801">
        <v>37</v>
      </c>
      <c r="F801">
        <v>13</v>
      </c>
      <c r="G801">
        <v>16.463176418095831</v>
      </c>
      <c r="H801" t="s">
        <v>475</v>
      </c>
      <c r="I801" t="s">
        <v>29</v>
      </c>
      <c r="J801">
        <v>0</v>
      </c>
      <c r="K801">
        <v>87</v>
      </c>
      <c r="L801" t="s">
        <v>436</v>
      </c>
      <c r="M801">
        <v>2478</v>
      </c>
      <c r="N801">
        <v>4.3386476933956146</v>
      </c>
      <c r="O801">
        <v>16.463176418095831</v>
      </c>
      <c r="P801">
        <v>7.5908614136278629</v>
      </c>
      <c r="Q801">
        <v>23.870775816962119</v>
      </c>
      <c r="R801">
        <v>2</v>
      </c>
      <c r="S801" t="s">
        <v>437</v>
      </c>
      <c r="T801">
        <v>2021</v>
      </c>
      <c r="U801" s="1">
        <v>45901.600802198707</v>
      </c>
      <c r="V801" t="s">
        <v>32</v>
      </c>
      <c r="W801" t="s">
        <v>138</v>
      </c>
      <c r="X801">
        <v>0.78964105527720596</v>
      </c>
      <c r="Y801">
        <v>0.78964105527720596</v>
      </c>
      <c r="Z801">
        <v>-3.4631764180958271</v>
      </c>
      <c r="AA801">
        <v>3.1598062953995161</v>
      </c>
      <c r="AB801">
        <v>0.5979361895192189</v>
      </c>
    </row>
    <row r="802" spans="1:28" x14ac:dyDescent="0.25">
      <c r="A802">
        <v>4</v>
      </c>
      <c r="B802">
        <v>37</v>
      </c>
      <c r="C802">
        <v>13</v>
      </c>
      <c r="D802">
        <v>1592</v>
      </c>
      <c r="E802">
        <v>28</v>
      </c>
      <c r="F802">
        <v>10</v>
      </c>
      <c r="G802">
        <v>9.8915421087294817</v>
      </c>
      <c r="H802" t="s">
        <v>191</v>
      </c>
      <c r="I802" t="s">
        <v>32</v>
      </c>
      <c r="J802">
        <v>0</v>
      </c>
      <c r="K802">
        <v>91</v>
      </c>
      <c r="L802" t="s">
        <v>480</v>
      </c>
      <c r="M802">
        <v>3330</v>
      </c>
      <c r="N802">
        <v>3.605143778957427</v>
      </c>
      <c r="O802">
        <v>12.936732159927489</v>
      </c>
      <c r="P802">
        <v>4.5564401187002659</v>
      </c>
      <c r="Q802">
        <v>15.29169622436166</v>
      </c>
      <c r="R802">
        <v>9</v>
      </c>
      <c r="S802" t="s">
        <v>437</v>
      </c>
      <c r="T802">
        <v>2021</v>
      </c>
      <c r="U802" s="1">
        <v>45901.600802198707</v>
      </c>
      <c r="V802" t="s">
        <v>32</v>
      </c>
      <c r="W802" t="s">
        <v>138</v>
      </c>
      <c r="X802">
        <v>1.0048905580861049</v>
      </c>
      <c r="Y802">
        <v>1.0109647100602039</v>
      </c>
      <c r="Z802">
        <v>6.3267840072512627E-2</v>
      </c>
      <c r="AA802">
        <v>2.4594594594594592</v>
      </c>
      <c r="AB802">
        <v>0.34964140972776991</v>
      </c>
    </row>
    <row r="803" spans="1:28" x14ac:dyDescent="0.25">
      <c r="A803">
        <v>2</v>
      </c>
      <c r="B803">
        <v>36</v>
      </c>
      <c r="C803">
        <v>13</v>
      </c>
      <c r="D803">
        <v>4895</v>
      </c>
      <c r="E803">
        <v>29</v>
      </c>
      <c r="F803">
        <v>9</v>
      </c>
      <c r="G803">
        <v>9.2301562447100878</v>
      </c>
      <c r="H803" t="s">
        <v>536</v>
      </c>
      <c r="I803" t="s">
        <v>29</v>
      </c>
      <c r="J803">
        <v>0</v>
      </c>
      <c r="K803">
        <v>89</v>
      </c>
      <c r="L803" t="s">
        <v>463</v>
      </c>
      <c r="M803">
        <v>2871</v>
      </c>
      <c r="N803">
        <v>3.3731071632355452</v>
      </c>
      <c r="O803">
        <v>12.27535219676793</v>
      </c>
      <c r="P803">
        <v>3.395618943497539</v>
      </c>
      <c r="Q803">
        <v>13.560798598453401</v>
      </c>
      <c r="R803">
        <v>4</v>
      </c>
      <c r="S803" t="s">
        <v>437</v>
      </c>
      <c r="T803">
        <v>2021</v>
      </c>
      <c r="U803" s="1">
        <v>45901.600802198707</v>
      </c>
      <c r="V803" t="s">
        <v>32</v>
      </c>
      <c r="W803" t="s">
        <v>138</v>
      </c>
      <c r="X803">
        <v>1.059032750475613</v>
      </c>
      <c r="Y803">
        <v>0.97506475095240197</v>
      </c>
      <c r="Z803">
        <v>0.72464780323207378</v>
      </c>
      <c r="AA803">
        <v>2.7899686520376181</v>
      </c>
      <c r="AB803">
        <v>0.38480727889554628</v>
      </c>
    </row>
    <row r="804" spans="1:28" x14ac:dyDescent="0.25">
      <c r="A804">
        <v>7</v>
      </c>
      <c r="B804">
        <v>35</v>
      </c>
      <c r="C804">
        <v>12</v>
      </c>
      <c r="D804">
        <v>1170</v>
      </c>
      <c r="E804">
        <v>63</v>
      </c>
      <c r="F804">
        <v>10</v>
      </c>
      <c r="G804">
        <v>5.6315968623384833</v>
      </c>
      <c r="H804" t="s">
        <v>537</v>
      </c>
      <c r="I804" t="s">
        <v>35</v>
      </c>
      <c r="J804">
        <v>0</v>
      </c>
      <c r="K804">
        <v>67</v>
      </c>
      <c r="L804" t="s">
        <v>439</v>
      </c>
      <c r="M804">
        <v>2777</v>
      </c>
      <c r="N804">
        <v>6.8226932836696514</v>
      </c>
      <c r="O804">
        <v>7.1541948756203064</v>
      </c>
      <c r="P804">
        <v>13.380763500928881</v>
      </c>
      <c r="Q804">
        <v>23.104433193802841</v>
      </c>
      <c r="R804">
        <v>4</v>
      </c>
      <c r="S804" t="s">
        <v>437</v>
      </c>
      <c r="T804">
        <v>2021</v>
      </c>
      <c r="U804" s="1">
        <v>45901.600802198707</v>
      </c>
      <c r="V804" t="s">
        <v>32</v>
      </c>
      <c r="W804" t="s">
        <v>138</v>
      </c>
      <c r="X804">
        <v>1.677337591249153</v>
      </c>
      <c r="Y804">
        <v>1.77569528580346</v>
      </c>
      <c r="Z804">
        <v>4.8458051243796936</v>
      </c>
      <c r="AA804">
        <v>2.171407994238387</v>
      </c>
      <c r="AB804">
        <v>0.23186083500389901</v>
      </c>
    </row>
    <row r="805" spans="1:28" x14ac:dyDescent="0.25">
      <c r="A805">
        <v>3</v>
      </c>
      <c r="B805">
        <v>29</v>
      </c>
      <c r="C805">
        <v>11</v>
      </c>
      <c r="D805">
        <v>502</v>
      </c>
      <c r="E805">
        <v>26</v>
      </c>
      <c r="F805">
        <v>9</v>
      </c>
      <c r="G805">
        <v>9.9673022963106632</v>
      </c>
      <c r="H805" t="s">
        <v>43</v>
      </c>
      <c r="I805" t="s">
        <v>29</v>
      </c>
      <c r="J805">
        <v>0</v>
      </c>
      <c r="K805">
        <v>63</v>
      </c>
      <c r="L805" t="s">
        <v>445</v>
      </c>
      <c r="M805">
        <v>1927</v>
      </c>
      <c r="N805">
        <v>2.9010907076299191</v>
      </c>
      <c r="O805">
        <v>11.48990032449365</v>
      </c>
      <c r="P805">
        <v>3.4983242135494952</v>
      </c>
      <c r="Q805">
        <v>12.086555399000639</v>
      </c>
      <c r="R805">
        <v>4</v>
      </c>
      <c r="S805" t="s">
        <v>437</v>
      </c>
      <c r="T805">
        <v>2021</v>
      </c>
      <c r="U805" s="1">
        <v>45901.600802198707</v>
      </c>
      <c r="V805" t="s">
        <v>32</v>
      </c>
      <c r="W805" t="s">
        <v>138</v>
      </c>
      <c r="X805">
        <v>0.95736252616140616</v>
      </c>
      <c r="Y805">
        <v>0.90295244715626777</v>
      </c>
      <c r="Z805">
        <v>-0.4899003244936484</v>
      </c>
      <c r="AA805">
        <v>2.942397509081474</v>
      </c>
      <c r="AB805">
        <v>0.5366326046727703</v>
      </c>
    </row>
    <row r="806" spans="1:28" x14ac:dyDescent="0.25">
      <c r="A806">
        <v>1</v>
      </c>
      <c r="B806">
        <v>30</v>
      </c>
      <c r="C806">
        <v>11</v>
      </c>
      <c r="D806">
        <v>1384</v>
      </c>
      <c r="E806">
        <v>33</v>
      </c>
      <c r="F806">
        <v>10</v>
      </c>
      <c r="G806">
        <v>4.5860619209706783</v>
      </c>
      <c r="H806" t="s">
        <v>476</v>
      </c>
      <c r="I806" t="s">
        <v>35</v>
      </c>
      <c r="J806">
        <v>0</v>
      </c>
      <c r="K806">
        <v>45</v>
      </c>
      <c r="L806" t="s">
        <v>443</v>
      </c>
      <c r="M806">
        <v>1377</v>
      </c>
      <c r="N806">
        <v>3.3490750901401038</v>
      </c>
      <c r="O806">
        <v>5.3473609052598476</v>
      </c>
      <c r="P806">
        <v>4.8936990294605494</v>
      </c>
      <c r="Q806">
        <v>10.52261056751013</v>
      </c>
      <c r="R806">
        <v>2</v>
      </c>
      <c r="S806" t="s">
        <v>437</v>
      </c>
      <c r="T806">
        <v>2021</v>
      </c>
      <c r="U806" s="1">
        <v>45901.600802198707</v>
      </c>
      <c r="V806" t="s">
        <v>32</v>
      </c>
      <c r="W806" t="s">
        <v>138</v>
      </c>
      <c r="X806">
        <v>2.057089505438098</v>
      </c>
      <c r="Y806">
        <v>2.18052005671206</v>
      </c>
      <c r="Z806">
        <v>5.6526390947401524</v>
      </c>
      <c r="AA806">
        <v>2.9411764705882359</v>
      </c>
      <c r="AB806">
        <v>0.34950071276208161</v>
      </c>
    </row>
    <row r="807" spans="1:28" x14ac:dyDescent="0.25">
      <c r="A807">
        <v>9</v>
      </c>
      <c r="B807">
        <v>32</v>
      </c>
      <c r="C807">
        <v>11</v>
      </c>
      <c r="D807">
        <v>1393</v>
      </c>
      <c r="E807">
        <v>63</v>
      </c>
      <c r="F807">
        <v>2</v>
      </c>
      <c r="G807">
        <v>5.8427836466580629</v>
      </c>
      <c r="H807" t="s">
        <v>471</v>
      </c>
      <c r="I807" t="s">
        <v>35</v>
      </c>
      <c r="J807">
        <v>0</v>
      </c>
      <c r="K807">
        <v>94</v>
      </c>
      <c r="L807" t="s">
        <v>443</v>
      </c>
      <c r="M807">
        <v>2322</v>
      </c>
      <c r="N807">
        <v>6.3245792966336012</v>
      </c>
      <c r="O807">
        <v>15.73955163545906</v>
      </c>
      <c r="P807">
        <v>7.2644418552517891</v>
      </c>
      <c r="Q807">
        <v>14.98455016687512</v>
      </c>
      <c r="R807">
        <v>2</v>
      </c>
      <c r="S807" t="s">
        <v>437</v>
      </c>
      <c r="T807">
        <v>2021</v>
      </c>
      <c r="U807" s="1">
        <v>45901.600802198707</v>
      </c>
      <c r="V807" t="s">
        <v>32</v>
      </c>
      <c r="W807" t="s">
        <v>138</v>
      </c>
      <c r="X807">
        <v>0.69887632473713546</v>
      </c>
      <c r="Y807">
        <v>0.3423025942683936</v>
      </c>
      <c r="Z807">
        <v>-4.7395516354590637</v>
      </c>
      <c r="AA807">
        <v>3.643410852713179</v>
      </c>
      <c r="AB807">
        <v>0.61006014090926608</v>
      </c>
    </row>
    <row r="808" spans="1:28" x14ac:dyDescent="0.25">
      <c r="A808">
        <v>4</v>
      </c>
      <c r="B808">
        <v>29</v>
      </c>
      <c r="C808">
        <v>11</v>
      </c>
      <c r="D808">
        <v>6208</v>
      </c>
      <c r="E808">
        <v>28</v>
      </c>
      <c r="F808">
        <v>7</v>
      </c>
      <c r="G808">
        <v>7.6086201295256606</v>
      </c>
      <c r="H808" t="s">
        <v>538</v>
      </c>
      <c r="I808" t="s">
        <v>35</v>
      </c>
      <c r="J808">
        <v>0</v>
      </c>
      <c r="K808">
        <v>51</v>
      </c>
      <c r="L808" t="s">
        <v>439</v>
      </c>
      <c r="M808">
        <v>2355</v>
      </c>
      <c r="N808">
        <v>3.3490537218749519</v>
      </c>
      <c r="O808">
        <v>10.65381712466478</v>
      </c>
      <c r="P808">
        <v>8.3354495214298368</v>
      </c>
      <c r="Q808">
        <v>16.001805070787668</v>
      </c>
      <c r="R808">
        <v>4</v>
      </c>
      <c r="S808" t="s">
        <v>437</v>
      </c>
      <c r="T808">
        <v>2021</v>
      </c>
      <c r="U808" s="1">
        <v>45901.600802198707</v>
      </c>
      <c r="V808" t="s">
        <v>32</v>
      </c>
      <c r="W808" t="s">
        <v>138</v>
      </c>
      <c r="X808">
        <v>1.0324937880277449</v>
      </c>
      <c r="Y808">
        <v>0.92000913185771005</v>
      </c>
      <c r="Z808">
        <v>0.34618287533521652</v>
      </c>
      <c r="AA808">
        <v>1.9490445859872609</v>
      </c>
      <c r="AB808">
        <v>0.4071522468024758</v>
      </c>
    </row>
    <row r="809" spans="1:28" x14ac:dyDescent="0.25">
      <c r="A809">
        <v>6</v>
      </c>
      <c r="B809">
        <v>38</v>
      </c>
      <c r="C809">
        <v>11</v>
      </c>
      <c r="D809">
        <v>6980</v>
      </c>
      <c r="E809">
        <v>43</v>
      </c>
      <c r="F809">
        <v>11</v>
      </c>
      <c r="G809">
        <v>10.72356414422393</v>
      </c>
      <c r="H809" t="s">
        <v>513</v>
      </c>
      <c r="I809" t="s">
        <v>29</v>
      </c>
      <c r="J809">
        <v>0</v>
      </c>
      <c r="K809">
        <v>58</v>
      </c>
      <c r="L809" t="s">
        <v>539</v>
      </c>
      <c r="M809">
        <v>2964</v>
      </c>
      <c r="N809">
        <v>4.3241039589047432</v>
      </c>
      <c r="O809">
        <v>11.48486315831542</v>
      </c>
      <c r="P809">
        <v>3.2675846144556999</v>
      </c>
      <c r="Q809">
        <v>16.396771218627691</v>
      </c>
      <c r="R809">
        <v>1</v>
      </c>
      <c r="S809" t="s">
        <v>437</v>
      </c>
      <c r="T809">
        <v>2021</v>
      </c>
      <c r="U809" s="1">
        <v>45901.600802198707</v>
      </c>
      <c r="V809" t="s">
        <v>32</v>
      </c>
      <c r="W809" t="s">
        <v>138</v>
      </c>
      <c r="X809">
        <v>0.95778241746273107</v>
      </c>
      <c r="Y809">
        <v>1.0257783561564251</v>
      </c>
      <c r="Z809">
        <v>-0.48486315831542021</v>
      </c>
      <c r="AA809">
        <v>1.761133603238866</v>
      </c>
      <c r="AB809">
        <v>0.34873066270188519</v>
      </c>
    </row>
    <row r="810" spans="1:28" x14ac:dyDescent="0.25">
      <c r="A810">
        <v>8</v>
      </c>
      <c r="B810">
        <v>34</v>
      </c>
      <c r="C810">
        <v>11</v>
      </c>
      <c r="D810">
        <v>7193</v>
      </c>
      <c r="E810">
        <v>45</v>
      </c>
      <c r="F810">
        <v>11</v>
      </c>
      <c r="G810">
        <v>9.1241948064416647</v>
      </c>
      <c r="H810" t="s">
        <v>540</v>
      </c>
      <c r="I810" t="s">
        <v>35</v>
      </c>
      <c r="J810">
        <v>0</v>
      </c>
      <c r="K810">
        <v>97</v>
      </c>
      <c r="L810" t="s">
        <v>445</v>
      </c>
      <c r="M810">
        <v>2649</v>
      </c>
      <c r="N810">
        <v>7.4307748042047024</v>
      </c>
      <c r="O810">
        <v>9.1241948064416647</v>
      </c>
      <c r="P810">
        <v>3.521644489839673</v>
      </c>
      <c r="Q810">
        <v>18.031454913318161</v>
      </c>
      <c r="R810">
        <v>4</v>
      </c>
      <c r="S810" t="s">
        <v>437</v>
      </c>
      <c r="T810">
        <v>2021</v>
      </c>
      <c r="U810" s="1">
        <v>45901.600802198707</v>
      </c>
      <c r="V810" t="s">
        <v>32</v>
      </c>
      <c r="W810" t="s">
        <v>138</v>
      </c>
      <c r="X810">
        <v>1.2055858334188589</v>
      </c>
      <c r="Y810">
        <v>1.2055858334188589</v>
      </c>
      <c r="Z810">
        <v>1.8758051935583351</v>
      </c>
      <c r="AA810">
        <v>3.295583238958097</v>
      </c>
      <c r="AB810">
        <v>0.30999529353708938</v>
      </c>
    </row>
    <row r="811" spans="1:28" x14ac:dyDescent="0.25">
      <c r="A811">
        <v>0</v>
      </c>
      <c r="B811">
        <v>28</v>
      </c>
      <c r="C811">
        <v>11</v>
      </c>
      <c r="D811">
        <v>9983</v>
      </c>
      <c r="E811">
        <v>19</v>
      </c>
      <c r="F811">
        <v>11</v>
      </c>
      <c r="G811">
        <v>13.282656040042641</v>
      </c>
      <c r="H811" t="s">
        <v>541</v>
      </c>
      <c r="I811" t="s">
        <v>35</v>
      </c>
      <c r="J811">
        <v>0</v>
      </c>
      <c r="K811">
        <v>64</v>
      </c>
      <c r="L811" t="s">
        <v>451</v>
      </c>
      <c r="M811">
        <v>2180</v>
      </c>
      <c r="N811">
        <v>1.7648195903748269</v>
      </c>
      <c r="O811">
        <v>13.282656040042641</v>
      </c>
      <c r="P811">
        <v>3.9099159250035882</v>
      </c>
      <c r="Q811">
        <v>16.065473101101819</v>
      </c>
      <c r="R811">
        <v>1</v>
      </c>
      <c r="S811" t="s">
        <v>437</v>
      </c>
      <c r="T811">
        <v>2021</v>
      </c>
      <c r="U811" s="1">
        <v>45901.600802198707</v>
      </c>
      <c r="V811" t="s">
        <v>32</v>
      </c>
      <c r="W811" t="s">
        <v>138</v>
      </c>
      <c r="X811">
        <v>0.82814762099077044</v>
      </c>
      <c r="Y811">
        <v>0.82814762099077044</v>
      </c>
      <c r="Z811">
        <v>-2.282656040042641</v>
      </c>
      <c r="AA811">
        <v>2.642201834862385</v>
      </c>
      <c r="AB811">
        <v>0.5483665337632283</v>
      </c>
    </row>
    <row r="812" spans="1:28" x14ac:dyDescent="0.25">
      <c r="A812">
        <v>4</v>
      </c>
      <c r="B812">
        <v>24</v>
      </c>
      <c r="C812">
        <v>10</v>
      </c>
      <c r="D812">
        <v>1148</v>
      </c>
      <c r="E812">
        <v>38</v>
      </c>
      <c r="F812">
        <v>7</v>
      </c>
      <c r="G812">
        <v>13.173129219561821</v>
      </c>
      <c r="H812" t="s">
        <v>496</v>
      </c>
      <c r="I812" t="s">
        <v>29</v>
      </c>
      <c r="J812">
        <v>0</v>
      </c>
      <c r="K812">
        <v>82</v>
      </c>
      <c r="L812" t="s">
        <v>482</v>
      </c>
      <c r="M812">
        <v>1739</v>
      </c>
      <c r="N812">
        <v>4.2040673978626728</v>
      </c>
      <c r="O812">
        <v>15.456983227282761</v>
      </c>
      <c r="P812">
        <v>3.8781870417296891</v>
      </c>
      <c r="Q812">
        <v>17.641933143138889</v>
      </c>
      <c r="R812">
        <v>3</v>
      </c>
      <c r="S812" t="s">
        <v>437</v>
      </c>
      <c r="T812">
        <v>2021</v>
      </c>
      <c r="U812" s="1">
        <v>45901.600802198707</v>
      </c>
      <c r="V812" t="s">
        <v>32</v>
      </c>
      <c r="W812" t="s">
        <v>138</v>
      </c>
      <c r="X812">
        <v>0.64695677370919513</v>
      </c>
      <c r="Y812">
        <v>0.53138475174183741</v>
      </c>
      <c r="Z812">
        <v>-5.4569832272827643</v>
      </c>
      <c r="AA812">
        <v>4.2438182863714777</v>
      </c>
      <c r="AB812">
        <v>0.79995887892780271</v>
      </c>
    </row>
    <row r="813" spans="1:28" x14ac:dyDescent="0.25">
      <c r="A813">
        <v>5</v>
      </c>
      <c r="B813">
        <v>29</v>
      </c>
      <c r="C813">
        <v>10</v>
      </c>
      <c r="D813">
        <v>1294</v>
      </c>
      <c r="E813">
        <v>38</v>
      </c>
      <c r="F813">
        <v>9</v>
      </c>
      <c r="G813">
        <v>6.619241151958704</v>
      </c>
      <c r="H813" t="s">
        <v>456</v>
      </c>
      <c r="I813" t="s">
        <v>35</v>
      </c>
      <c r="J813">
        <v>0</v>
      </c>
      <c r="K813">
        <v>99</v>
      </c>
      <c r="L813" t="s">
        <v>441</v>
      </c>
      <c r="M813">
        <v>2079</v>
      </c>
      <c r="N813">
        <v>5.4198016617447138</v>
      </c>
      <c r="O813">
        <v>8.1418432854115963</v>
      </c>
      <c r="P813">
        <v>6.9741247855126858</v>
      </c>
      <c r="Q813">
        <v>16.03753306157887</v>
      </c>
      <c r="R813">
        <v>3</v>
      </c>
      <c r="S813" t="s">
        <v>437</v>
      </c>
      <c r="T813">
        <v>2021</v>
      </c>
      <c r="U813" s="1">
        <v>45901.600802198707</v>
      </c>
      <c r="V813" t="s">
        <v>32</v>
      </c>
      <c r="W813" t="s">
        <v>138</v>
      </c>
      <c r="X813">
        <v>1.228223100034094</v>
      </c>
      <c r="Y813">
        <v>1.3596724750444851</v>
      </c>
      <c r="Z813">
        <v>1.8581567145884039</v>
      </c>
      <c r="AA813">
        <v>4.2857142857142856</v>
      </c>
      <c r="AB813">
        <v>0.35246074828621632</v>
      </c>
    </row>
    <row r="814" spans="1:28" x14ac:dyDescent="0.25">
      <c r="A814">
        <v>0</v>
      </c>
      <c r="B814">
        <v>32</v>
      </c>
      <c r="C814">
        <v>10</v>
      </c>
      <c r="D814">
        <v>2019</v>
      </c>
      <c r="E814">
        <v>10</v>
      </c>
      <c r="F814">
        <v>8</v>
      </c>
      <c r="G814">
        <v>6.3152478914707899</v>
      </c>
      <c r="H814" t="s">
        <v>542</v>
      </c>
      <c r="I814" t="s">
        <v>35</v>
      </c>
      <c r="J814">
        <v>0</v>
      </c>
      <c r="K814">
        <v>58</v>
      </c>
      <c r="L814" t="s">
        <v>543</v>
      </c>
      <c r="M814">
        <v>1871</v>
      </c>
      <c r="N814">
        <v>0.9701058827340604</v>
      </c>
      <c r="O814">
        <v>7.8378459122031927</v>
      </c>
      <c r="P814">
        <v>1.510065166279674</v>
      </c>
      <c r="Q814">
        <v>7.3246373664587736</v>
      </c>
      <c r="R814">
        <v>6</v>
      </c>
      <c r="S814" t="s">
        <v>437</v>
      </c>
      <c r="T814">
        <v>2021</v>
      </c>
      <c r="U814" s="1">
        <v>45901.600802198707</v>
      </c>
      <c r="V814" t="s">
        <v>32</v>
      </c>
      <c r="W814" t="s">
        <v>138</v>
      </c>
      <c r="X814">
        <v>1.2758607546022851</v>
      </c>
      <c r="Y814">
        <v>1.266775293303148</v>
      </c>
      <c r="Z814">
        <v>2.1621540877968068</v>
      </c>
      <c r="AA814">
        <v>2.78995189738108</v>
      </c>
      <c r="AB814">
        <v>0.37702091507123858</v>
      </c>
    </row>
    <row r="815" spans="1:28" x14ac:dyDescent="0.25">
      <c r="A815">
        <v>5</v>
      </c>
      <c r="B815">
        <v>36</v>
      </c>
      <c r="C815">
        <v>10</v>
      </c>
      <c r="D815">
        <v>7500</v>
      </c>
      <c r="E815">
        <v>44</v>
      </c>
      <c r="F815">
        <v>10</v>
      </c>
      <c r="G815">
        <v>8.0686277858912945</v>
      </c>
      <c r="H815" t="s">
        <v>544</v>
      </c>
      <c r="I815" t="s">
        <v>35</v>
      </c>
      <c r="J815">
        <v>1</v>
      </c>
      <c r="K815">
        <v>71</v>
      </c>
      <c r="L815" t="s">
        <v>449</v>
      </c>
      <c r="M815">
        <v>2777</v>
      </c>
      <c r="N815">
        <v>4.3985389852896333</v>
      </c>
      <c r="O815">
        <v>8.0686277858912945</v>
      </c>
      <c r="P815">
        <v>6.349780878983438</v>
      </c>
      <c r="Q815">
        <v>16.79699997976422</v>
      </c>
      <c r="R815">
        <v>7</v>
      </c>
      <c r="S815" t="s">
        <v>437</v>
      </c>
      <c r="T815">
        <v>2021</v>
      </c>
      <c r="U815" s="1">
        <v>45901.600802198707</v>
      </c>
      <c r="V815" t="s">
        <v>32</v>
      </c>
      <c r="W815" t="s">
        <v>138</v>
      </c>
      <c r="X815">
        <v>1.239368113805656</v>
      </c>
      <c r="Y815">
        <v>1.239368113805656</v>
      </c>
      <c r="Z815">
        <v>1.931372214108706</v>
      </c>
      <c r="AA815">
        <v>2.301044292401873</v>
      </c>
      <c r="AB815">
        <v>0.26149675935549749</v>
      </c>
    </row>
    <row r="816" spans="1:28" x14ac:dyDescent="0.25">
      <c r="A816">
        <v>4</v>
      </c>
      <c r="B816">
        <v>32</v>
      </c>
      <c r="C816">
        <v>26</v>
      </c>
      <c r="D816">
        <v>5322</v>
      </c>
      <c r="E816">
        <v>33</v>
      </c>
      <c r="F816">
        <v>24</v>
      </c>
      <c r="G816">
        <v>24.342133514583111</v>
      </c>
      <c r="H816" t="s">
        <v>531</v>
      </c>
      <c r="I816" t="s">
        <v>29</v>
      </c>
      <c r="J816">
        <v>0</v>
      </c>
      <c r="K816">
        <v>134</v>
      </c>
      <c r="L816" t="s">
        <v>443</v>
      </c>
      <c r="M816">
        <v>2609</v>
      </c>
      <c r="N816">
        <v>2.6485694460570808</v>
      </c>
      <c r="O816">
        <v>26.626029931008819</v>
      </c>
      <c r="P816">
        <v>2.083378940820694</v>
      </c>
      <c r="Q816">
        <v>23.062605202198029</v>
      </c>
      <c r="R816">
        <v>4</v>
      </c>
      <c r="S816" t="s">
        <v>437</v>
      </c>
      <c r="T816">
        <v>2022</v>
      </c>
      <c r="U816" s="1">
        <v>45901.600802198707</v>
      </c>
      <c r="V816" t="s">
        <v>32</v>
      </c>
      <c r="W816" t="s">
        <v>152</v>
      </c>
      <c r="X816">
        <v>0.97648804825086832</v>
      </c>
      <c r="Y816">
        <v>0.98594480165930642</v>
      </c>
      <c r="Z816">
        <v>-0.62602993100881577</v>
      </c>
      <c r="AA816">
        <v>4.6224607129168263</v>
      </c>
      <c r="AB816">
        <v>0.91849087535101326</v>
      </c>
    </row>
    <row r="817" spans="1:28" x14ac:dyDescent="0.25">
      <c r="A817">
        <v>6</v>
      </c>
      <c r="B817">
        <v>38</v>
      </c>
      <c r="C817">
        <v>21</v>
      </c>
      <c r="D817">
        <v>7006</v>
      </c>
      <c r="E817">
        <v>46</v>
      </c>
      <c r="F817">
        <v>20</v>
      </c>
      <c r="G817">
        <v>18.293364918790761</v>
      </c>
      <c r="H817" t="s">
        <v>517</v>
      </c>
      <c r="I817" t="s">
        <v>29</v>
      </c>
      <c r="J817">
        <v>0</v>
      </c>
      <c r="K817">
        <v>126</v>
      </c>
      <c r="L817" t="s">
        <v>436</v>
      </c>
      <c r="M817">
        <v>2566</v>
      </c>
      <c r="N817">
        <v>6.0427753683179617</v>
      </c>
      <c r="O817">
        <v>19.815964913927019</v>
      </c>
      <c r="P817">
        <v>5.3684976901859054</v>
      </c>
      <c r="Q817">
        <v>25.248869486153129</v>
      </c>
      <c r="R817">
        <v>4</v>
      </c>
      <c r="S817" t="s">
        <v>437</v>
      </c>
      <c r="T817">
        <v>2022</v>
      </c>
      <c r="U817" s="1">
        <v>45901.600802198707</v>
      </c>
      <c r="V817" t="s">
        <v>32</v>
      </c>
      <c r="W817" t="s">
        <v>152</v>
      </c>
      <c r="X817">
        <v>1.0597515736032019</v>
      </c>
      <c r="Y817">
        <v>1.093292572951202</v>
      </c>
      <c r="Z817">
        <v>1.1840350860729809</v>
      </c>
      <c r="AA817">
        <v>4.4193296960249411</v>
      </c>
      <c r="AB817">
        <v>0.6950260492024285</v>
      </c>
    </row>
    <row r="818" spans="1:28" x14ac:dyDescent="0.25">
      <c r="A818">
        <v>6</v>
      </c>
      <c r="B818">
        <v>33</v>
      </c>
      <c r="C818">
        <v>16</v>
      </c>
      <c r="D818">
        <v>7224</v>
      </c>
      <c r="E818">
        <v>35</v>
      </c>
      <c r="F818">
        <v>15</v>
      </c>
      <c r="G818">
        <v>8.3610171731561422</v>
      </c>
      <c r="H818" t="s">
        <v>545</v>
      </c>
      <c r="I818" t="s">
        <v>35</v>
      </c>
      <c r="J818">
        <v>0</v>
      </c>
      <c r="K818">
        <v>48</v>
      </c>
      <c r="L818" t="s">
        <v>543</v>
      </c>
      <c r="M818">
        <v>2532</v>
      </c>
      <c r="N818">
        <v>2.565659542568028</v>
      </c>
      <c r="O818">
        <v>9.1223160084336996</v>
      </c>
      <c r="P818">
        <v>2.8657807009294629</v>
      </c>
      <c r="Q818">
        <v>12.28598351869732</v>
      </c>
      <c r="R818">
        <v>3</v>
      </c>
      <c r="S818" t="s">
        <v>437</v>
      </c>
      <c r="T818">
        <v>2022</v>
      </c>
      <c r="U818" s="1">
        <v>45901.600802198707</v>
      </c>
      <c r="V818" t="s">
        <v>32</v>
      </c>
      <c r="W818" t="s">
        <v>152</v>
      </c>
      <c r="X818">
        <v>1.753940554702095</v>
      </c>
      <c r="Y818">
        <v>1.7940400897822519</v>
      </c>
      <c r="Z818">
        <v>6.8776839915663004</v>
      </c>
      <c r="AA818">
        <v>1.7061611374407579</v>
      </c>
      <c r="AB818">
        <v>0.32425293868840172</v>
      </c>
    </row>
    <row r="819" spans="1:28" x14ac:dyDescent="0.25">
      <c r="A819">
        <v>5</v>
      </c>
      <c r="B819">
        <v>33</v>
      </c>
      <c r="C819">
        <v>13</v>
      </c>
      <c r="D819">
        <v>502</v>
      </c>
      <c r="E819">
        <v>24</v>
      </c>
      <c r="F819">
        <v>10</v>
      </c>
      <c r="G819">
        <v>12.89613555371761</v>
      </c>
      <c r="H819" t="s">
        <v>43</v>
      </c>
      <c r="I819" t="s">
        <v>29</v>
      </c>
      <c r="J819">
        <v>1</v>
      </c>
      <c r="K819">
        <v>81</v>
      </c>
      <c r="L819" t="s">
        <v>445</v>
      </c>
      <c r="M819">
        <v>2166</v>
      </c>
      <c r="N819">
        <v>5.8395652500912547</v>
      </c>
      <c r="O819">
        <v>15.180027283728119</v>
      </c>
      <c r="P819">
        <v>5.0174844823777676</v>
      </c>
      <c r="Q819">
        <v>18.150510312989361</v>
      </c>
      <c r="R819">
        <v>6</v>
      </c>
      <c r="S819" t="s">
        <v>437</v>
      </c>
      <c r="T819">
        <v>2022</v>
      </c>
      <c r="U819" s="1">
        <v>45901.600802198707</v>
      </c>
      <c r="V819" t="s">
        <v>32</v>
      </c>
      <c r="W819" t="s">
        <v>152</v>
      </c>
      <c r="X819">
        <v>0.85638844759752486</v>
      </c>
      <c r="Y819">
        <v>0.77542609244032545</v>
      </c>
      <c r="Z819">
        <v>-2.180027283728124</v>
      </c>
      <c r="AA819">
        <v>3.365650969529085</v>
      </c>
      <c r="AB819">
        <v>0.63074905611058685</v>
      </c>
    </row>
    <row r="820" spans="1:28" x14ac:dyDescent="0.25">
      <c r="A820">
        <v>6</v>
      </c>
      <c r="B820">
        <v>31</v>
      </c>
      <c r="C820">
        <v>13</v>
      </c>
      <c r="D820">
        <v>5556</v>
      </c>
      <c r="E820">
        <v>40</v>
      </c>
      <c r="F820">
        <v>10</v>
      </c>
      <c r="G820">
        <v>8.2937472574412823</v>
      </c>
      <c r="H820" t="s">
        <v>546</v>
      </c>
      <c r="I820" t="s">
        <v>35</v>
      </c>
      <c r="J820">
        <v>0</v>
      </c>
      <c r="K820">
        <v>52</v>
      </c>
      <c r="L820" t="s">
        <v>482</v>
      </c>
      <c r="M820">
        <v>1745</v>
      </c>
      <c r="N820">
        <v>5.7307195644825697</v>
      </c>
      <c r="O820">
        <v>10.57764142565429</v>
      </c>
      <c r="P820">
        <v>3.6893259231001139</v>
      </c>
      <c r="Q820">
        <v>16.50912071205676</v>
      </c>
      <c r="R820">
        <v>3</v>
      </c>
      <c r="S820" t="s">
        <v>437</v>
      </c>
      <c r="T820">
        <v>2022</v>
      </c>
      <c r="U820" s="1">
        <v>45901.600802198707</v>
      </c>
      <c r="V820" t="s">
        <v>32</v>
      </c>
      <c r="W820" t="s">
        <v>152</v>
      </c>
      <c r="X820">
        <v>1.2290074390752821</v>
      </c>
      <c r="Y820">
        <v>1.2057276029273549</v>
      </c>
      <c r="Z820">
        <v>2.4223585743457079</v>
      </c>
      <c r="AA820">
        <v>2.6819484240687679</v>
      </c>
      <c r="AB820">
        <v>0.54555170676727005</v>
      </c>
    </row>
    <row r="821" spans="1:28" x14ac:dyDescent="0.25">
      <c r="A821">
        <v>2</v>
      </c>
      <c r="B821">
        <v>31</v>
      </c>
      <c r="C821">
        <v>13</v>
      </c>
      <c r="D821">
        <v>9018</v>
      </c>
      <c r="E821">
        <v>28</v>
      </c>
      <c r="F821">
        <v>10</v>
      </c>
      <c r="G821">
        <v>10.18323667347431</v>
      </c>
      <c r="H821" t="s">
        <v>529</v>
      </c>
      <c r="I821" t="s">
        <v>29</v>
      </c>
      <c r="J821">
        <v>0</v>
      </c>
      <c r="K821">
        <v>63</v>
      </c>
      <c r="L821" t="s">
        <v>530</v>
      </c>
      <c r="M821">
        <v>2659</v>
      </c>
      <c r="N821">
        <v>2.6511829812079668</v>
      </c>
      <c r="O821">
        <v>12.46713381260634</v>
      </c>
      <c r="P821">
        <v>2.649153377860785</v>
      </c>
      <c r="Q821">
        <v>13.53974965214729</v>
      </c>
      <c r="R821">
        <v>8</v>
      </c>
      <c r="S821" t="s">
        <v>437</v>
      </c>
      <c r="T821">
        <v>2022</v>
      </c>
      <c r="U821" s="1">
        <v>45901.600802198707</v>
      </c>
      <c r="V821" t="s">
        <v>32</v>
      </c>
      <c r="W821" t="s">
        <v>152</v>
      </c>
      <c r="X821">
        <v>1.042741675464721</v>
      </c>
      <c r="Y821">
        <v>0.98200604784610246</v>
      </c>
      <c r="Z821">
        <v>0.53286618739366354</v>
      </c>
      <c r="AA821">
        <v>2.1323805942083491</v>
      </c>
      <c r="AB821">
        <v>0.42197895567302368</v>
      </c>
    </row>
    <row r="822" spans="1:28" x14ac:dyDescent="0.25">
      <c r="A822">
        <v>5</v>
      </c>
      <c r="B822">
        <v>31</v>
      </c>
      <c r="C822">
        <v>12</v>
      </c>
      <c r="D822">
        <v>1209</v>
      </c>
      <c r="E822">
        <v>26</v>
      </c>
      <c r="F822">
        <v>8</v>
      </c>
      <c r="G822">
        <v>11.08803047798574</v>
      </c>
      <c r="H822" t="s">
        <v>477</v>
      </c>
      <c r="I822" t="s">
        <v>29</v>
      </c>
      <c r="J822">
        <v>0</v>
      </c>
      <c r="K822">
        <v>77</v>
      </c>
      <c r="L822" t="s">
        <v>459</v>
      </c>
      <c r="M822">
        <v>2239</v>
      </c>
      <c r="N822">
        <v>2.3681424707174301</v>
      </c>
      <c r="O822">
        <v>14.894521465525029</v>
      </c>
      <c r="P822">
        <v>4.2359915710985661</v>
      </c>
      <c r="Q822">
        <v>17.061955170705911</v>
      </c>
      <c r="R822">
        <v>2</v>
      </c>
      <c r="S822" t="s">
        <v>437</v>
      </c>
      <c r="T822">
        <v>2022</v>
      </c>
      <c r="U822" s="1">
        <v>45901.600802198707</v>
      </c>
      <c r="V822" t="s">
        <v>32</v>
      </c>
      <c r="W822" t="s">
        <v>152</v>
      </c>
      <c r="X822">
        <v>0.80566536009735434</v>
      </c>
      <c r="Y822">
        <v>0.72149873829110234</v>
      </c>
      <c r="Z822">
        <v>-2.8945214655250329</v>
      </c>
      <c r="AA822">
        <v>3.0951317552478779</v>
      </c>
      <c r="AB822">
        <v>0.59870787489828181</v>
      </c>
    </row>
    <row r="823" spans="1:28" x14ac:dyDescent="0.25">
      <c r="A823">
        <v>6</v>
      </c>
      <c r="B823">
        <v>25</v>
      </c>
      <c r="C823">
        <v>12</v>
      </c>
      <c r="D823">
        <v>1294</v>
      </c>
      <c r="E823">
        <v>53</v>
      </c>
      <c r="F823">
        <v>7</v>
      </c>
      <c r="G823">
        <v>5.9010393396019936</v>
      </c>
      <c r="H823" t="s">
        <v>456</v>
      </c>
      <c r="I823" t="s">
        <v>35</v>
      </c>
      <c r="J823">
        <v>0</v>
      </c>
      <c r="K823">
        <v>65</v>
      </c>
      <c r="L823" t="s">
        <v>467</v>
      </c>
      <c r="M823">
        <v>1763</v>
      </c>
      <c r="N823">
        <v>7.3528783768415451</v>
      </c>
      <c r="O823">
        <v>9.7075319737195969</v>
      </c>
      <c r="P823">
        <v>3.6964484434574838</v>
      </c>
      <c r="Q823">
        <v>11.51171065308154</v>
      </c>
      <c r="R823">
        <v>4</v>
      </c>
      <c r="S823" t="s">
        <v>437</v>
      </c>
      <c r="T823">
        <v>2022</v>
      </c>
      <c r="U823" s="1">
        <v>45901.600802198707</v>
      </c>
      <c r="V823" t="s">
        <v>32</v>
      </c>
      <c r="W823" t="s">
        <v>152</v>
      </c>
      <c r="X823">
        <v>1.236153538560224</v>
      </c>
      <c r="Y823">
        <v>1.1862317122719139</v>
      </c>
      <c r="Z823">
        <v>2.2924680262804031</v>
      </c>
      <c r="AA823">
        <v>3.3182076006806578</v>
      </c>
      <c r="AB823">
        <v>0.49556317506225961</v>
      </c>
    </row>
    <row r="824" spans="1:28" x14ac:dyDescent="0.25">
      <c r="A824">
        <v>7</v>
      </c>
      <c r="B824">
        <v>26</v>
      </c>
      <c r="C824">
        <v>12</v>
      </c>
      <c r="D824">
        <v>1612</v>
      </c>
      <c r="E824">
        <v>45</v>
      </c>
      <c r="F824">
        <v>5</v>
      </c>
      <c r="G824">
        <v>4.9802794270217419</v>
      </c>
      <c r="H824" t="s">
        <v>448</v>
      </c>
      <c r="I824" t="s">
        <v>35</v>
      </c>
      <c r="J824">
        <v>0</v>
      </c>
      <c r="K824">
        <v>83</v>
      </c>
      <c r="L824" t="s">
        <v>449</v>
      </c>
      <c r="M824">
        <v>1894</v>
      </c>
      <c r="N824">
        <v>6.4967994689941406</v>
      </c>
      <c r="O824">
        <v>11.07066909968853</v>
      </c>
      <c r="P824">
        <v>6.5693025961518288</v>
      </c>
      <c r="Q824">
        <v>15.02480634301901</v>
      </c>
      <c r="R824">
        <v>8</v>
      </c>
      <c r="S824" t="s">
        <v>437</v>
      </c>
      <c r="T824">
        <v>2022</v>
      </c>
      <c r="U824" s="1">
        <v>45901.600802198707</v>
      </c>
      <c r="V824" t="s">
        <v>32</v>
      </c>
      <c r="W824" t="s">
        <v>152</v>
      </c>
      <c r="X824">
        <v>1.0839453236243519</v>
      </c>
      <c r="Y824">
        <v>1.003959732233348</v>
      </c>
      <c r="Z824">
        <v>0.92933090031147003</v>
      </c>
      <c r="AA824">
        <v>3.9440337909186911</v>
      </c>
      <c r="AB824">
        <v>0.52606136165362605</v>
      </c>
    </row>
    <row r="825" spans="1:28" x14ac:dyDescent="0.25">
      <c r="A825">
        <v>4</v>
      </c>
      <c r="B825">
        <v>33</v>
      </c>
      <c r="C825">
        <v>12</v>
      </c>
      <c r="D825">
        <v>2217</v>
      </c>
      <c r="E825">
        <v>24</v>
      </c>
      <c r="F825">
        <v>11</v>
      </c>
      <c r="G825">
        <v>10.74813610129058</v>
      </c>
      <c r="H825" t="s">
        <v>243</v>
      </c>
      <c r="I825" t="s">
        <v>29</v>
      </c>
      <c r="J825">
        <v>0</v>
      </c>
      <c r="K825">
        <v>69</v>
      </c>
      <c r="L825" t="s">
        <v>455</v>
      </c>
      <c r="M825">
        <v>2457</v>
      </c>
      <c r="N825">
        <v>3.6620149128139019</v>
      </c>
      <c r="O825">
        <v>11.509437082335349</v>
      </c>
      <c r="P825">
        <v>5.3743198066949844</v>
      </c>
      <c r="Q825">
        <v>17.375103471800681</v>
      </c>
      <c r="R825">
        <v>4</v>
      </c>
      <c r="S825" t="s">
        <v>437</v>
      </c>
      <c r="T825">
        <v>2022</v>
      </c>
      <c r="U825" s="1">
        <v>45901.600802198707</v>
      </c>
      <c r="V825" t="s">
        <v>32</v>
      </c>
      <c r="W825" t="s">
        <v>152</v>
      </c>
      <c r="X825">
        <v>1.0426226681770181</v>
      </c>
      <c r="Y825">
        <v>1.0234332628779399</v>
      </c>
      <c r="Z825">
        <v>0.49056291766464888</v>
      </c>
      <c r="AA825">
        <v>2.5274725274725269</v>
      </c>
      <c r="AB825">
        <v>0.42159110191704591</v>
      </c>
    </row>
    <row r="826" spans="1:28" x14ac:dyDescent="0.25">
      <c r="A826">
        <v>10</v>
      </c>
      <c r="B826">
        <v>34</v>
      </c>
      <c r="C826">
        <v>12</v>
      </c>
      <c r="D826">
        <v>7453</v>
      </c>
      <c r="E826">
        <v>54</v>
      </c>
      <c r="F826">
        <v>10</v>
      </c>
      <c r="G826">
        <v>6.5403321124613294</v>
      </c>
      <c r="H826" t="s">
        <v>547</v>
      </c>
      <c r="I826" t="s">
        <v>35</v>
      </c>
      <c r="J826">
        <v>0</v>
      </c>
      <c r="K826">
        <v>85</v>
      </c>
      <c r="L826" t="s">
        <v>443</v>
      </c>
      <c r="M826">
        <v>2575</v>
      </c>
      <c r="N826">
        <v>8.7848975611850619</v>
      </c>
      <c r="O826">
        <v>8.0629303008317947</v>
      </c>
      <c r="P826">
        <v>8.3478340450674295</v>
      </c>
      <c r="Q826">
        <v>20.764383366331451</v>
      </c>
      <c r="R826">
        <v>1</v>
      </c>
      <c r="S826" t="s">
        <v>437</v>
      </c>
      <c r="T826">
        <v>2022</v>
      </c>
      <c r="U826" s="1">
        <v>45901.600802198707</v>
      </c>
      <c r="V826" t="s">
        <v>32</v>
      </c>
      <c r="W826" t="s">
        <v>152</v>
      </c>
      <c r="X826">
        <v>1.4882926618827459</v>
      </c>
      <c r="Y826">
        <v>1.52897434381764</v>
      </c>
      <c r="Z826">
        <v>3.9370696991682048</v>
      </c>
      <c r="AA826">
        <v>2.970873786407767</v>
      </c>
      <c r="AB826">
        <v>0.28181115614557728</v>
      </c>
    </row>
    <row r="827" spans="1:28" x14ac:dyDescent="0.25">
      <c r="A827">
        <v>4</v>
      </c>
      <c r="B827">
        <v>32</v>
      </c>
      <c r="C827">
        <v>11</v>
      </c>
      <c r="D827">
        <v>6160</v>
      </c>
      <c r="E827">
        <v>44</v>
      </c>
      <c r="F827">
        <v>8</v>
      </c>
      <c r="G827">
        <v>7.9193776771426201</v>
      </c>
      <c r="H827" t="s">
        <v>548</v>
      </c>
      <c r="I827" t="s">
        <v>35</v>
      </c>
      <c r="J827">
        <v>2</v>
      </c>
      <c r="K827">
        <v>92</v>
      </c>
      <c r="L827" t="s">
        <v>495</v>
      </c>
      <c r="M827">
        <v>2121</v>
      </c>
      <c r="N827">
        <v>3.2193424990400672</v>
      </c>
      <c r="O827">
        <v>10.203273288905621</v>
      </c>
      <c r="P827">
        <v>3.2607798799872398</v>
      </c>
      <c r="Q827">
        <v>11.65051473490894</v>
      </c>
      <c r="R827">
        <v>6</v>
      </c>
      <c r="S827" t="s">
        <v>437</v>
      </c>
      <c r="T827">
        <v>2022</v>
      </c>
      <c r="U827" s="1">
        <v>45901.600802198707</v>
      </c>
      <c r="V827" t="s">
        <v>32</v>
      </c>
      <c r="W827" t="s">
        <v>152</v>
      </c>
      <c r="X827">
        <v>1.0780854034323171</v>
      </c>
      <c r="Y827">
        <v>1.010180386154593</v>
      </c>
      <c r="Z827">
        <v>0.79672671109437943</v>
      </c>
      <c r="AA827">
        <v>3.9038189533239041</v>
      </c>
      <c r="AB827">
        <v>0.43295360490405749</v>
      </c>
    </row>
    <row r="828" spans="1:28" x14ac:dyDescent="0.25">
      <c r="A828">
        <v>6</v>
      </c>
      <c r="B828">
        <v>25</v>
      </c>
      <c r="C828">
        <v>10</v>
      </c>
      <c r="D828">
        <v>594</v>
      </c>
      <c r="E828">
        <v>32</v>
      </c>
      <c r="F828">
        <v>8</v>
      </c>
      <c r="G828">
        <v>8.2841147631406784</v>
      </c>
      <c r="H828" t="s">
        <v>63</v>
      </c>
      <c r="I828" t="s">
        <v>29</v>
      </c>
      <c r="J828">
        <v>0</v>
      </c>
      <c r="K828">
        <v>51</v>
      </c>
      <c r="L828" t="s">
        <v>436</v>
      </c>
      <c r="M828">
        <v>1675</v>
      </c>
      <c r="N828">
        <v>4.2542192433029413</v>
      </c>
      <c r="O828">
        <v>9.8067087382078153</v>
      </c>
      <c r="P828">
        <v>4.9065447859466076</v>
      </c>
      <c r="Q828">
        <v>15.382605358958241</v>
      </c>
      <c r="R828">
        <v>1</v>
      </c>
      <c r="S828" t="s">
        <v>437</v>
      </c>
      <c r="T828">
        <v>2022</v>
      </c>
      <c r="U828" s="1">
        <v>45901.600802198707</v>
      </c>
      <c r="V828" t="s">
        <v>32</v>
      </c>
      <c r="W828" t="s">
        <v>152</v>
      </c>
      <c r="X828">
        <v>1.0197101052914019</v>
      </c>
      <c r="Y828">
        <v>0.96570366644305583</v>
      </c>
      <c r="Z828">
        <v>0.1932912617921847</v>
      </c>
      <c r="AA828">
        <v>2.7402985074626871</v>
      </c>
      <c r="AB828">
        <v>0.52692763369474827</v>
      </c>
    </row>
    <row r="829" spans="1:28" x14ac:dyDescent="0.25">
      <c r="A829">
        <v>0</v>
      </c>
      <c r="B829">
        <v>21</v>
      </c>
      <c r="C829">
        <v>10</v>
      </c>
      <c r="D829">
        <v>865</v>
      </c>
      <c r="E829">
        <v>22</v>
      </c>
      <c r="F829">
        <v>7</v>
      </c>
      <c r="G829">
        <v>5.7875932389870286</v>
      </c>
      <c r="H829" t="s">
        <v>80</v>
      </c>
      <c r="I829" t="s">
        <v>29</v>
      </c>
      <c r="J829">
        <v>0</v>
      </c>
      <c r="K829">
        <v>31</v>
      </c>
      <c r="L829" t="s">
        <v>495</v>
      </c>
      <c r="M829">
        <v>1556</v>
      </c>
      <c r="N829">
        <v>2.5909547666087751</v>
      </c>
      <c r="O829">
        <v>8.0714890230447054</v>
      </c>
      <c r="P829">
        <v>3.1932739103212961</v>
      </c>
      <c r="Q829">
        <v>10.89691361133009</v>
      </c>
      <c r="R829">
        <v>5</v>
      </c>
      <c r="S829" t="s">
        <v>437</v>
      </c>
      <c r="T829">
        <v>2022</v>
      </c>
      <c r="U829" s="1">
        <v>45901.600802198707</v>
      </c>
      <c r="V829" t="s">
        <v>32</v>
      </c>
      <c r="W829" t="s">
        <v>152</v>
      </c>
      <c r="X829">
        <v>1.2389287740402359</v>
      </c>
      <c r="Y829">
        <v>1.209483754463915</v>
      </c>
      <c r="Z829">
        <v>1.9285109769552951</v>
      </c>
      <c r="AA829">
        <v>1.7930591259640101</v>
      </c>
      <c r="AB829">
        <v>0.46685990493189172</v>
      </c>
    </row>
    <row r="830" spans="1:28" x14ac:dyDescent="0.25">
      <c r="A830">
        <v>6</v>
      </c>
      <c r="B830">
        <v>35</v>
      </c>
      <c r="C830">
        <v>10</v>
      </c>
      <c r="D830">
        <v>1958</v>
      </c>
      <c r="E830">
        <v>36</v>
      </c>
      <c r="F830">
        <v>9</v>
      </c>
      <c r="G830">
        <v>7.5899128392338753</v>
      </c>
      <c r="H830" t="s">
        <v>549</v>
      </c>
      <c r="I830" t="s">
        <v>35</v>
      </c>
      <c r="J830">
        <v>0</v>
      </c>
      <c r="K830">
        <v>57</v>
      </c>
      <c r="L830" t="s">
        <v>459</v>
      </c>
      <c r="M830">
        <v>2812</v>
      </c>
      <c r="N830">
        <v>5.7771584670990714</v>
      </c>
      <c r="O830">
        <v>8.3512120172381401</v>
      </c>
      <c r="P830">
        <v>7.7913031075149766</v>
      </c>
      <c r="Q830">
        <v>19.419666165485971</v>
      </c>
      <c r="R830">
        <v>9</v>
      </c>
      <c r="S830" t="s">
        <v>437</v>
      </c>
      <c r="T830">
        <v>2022</v>
      </c>
      <c r="U830" s="1">
        <v>45901.600802198707</v>
      </c>
      <c r="V830" t="s">
        <v>32</v>
      </c>
      <c r="W830" t="s">
        <v>152</v>
      </c>
      <c r="X830">
        <v>1.1974309811987189</v>
      </c>
      <c r="Y830">
        <v>1.185784368099339</v>
      </c>
      <c r="Z830">
        <v>1.6487879827618599</v>
      </c>
      <c r="AA830">
        <v>1.8243243243243239</v>
      </c>
      <c r="AB830">
        <v>0.26728630211644122</v>
      </c>
    </row>
    <row r="831" spans="1:28" x14ac:dyDescent="0.25">
      <c r="A831">
        <v>2</v>
      </c>
      <c r="B831">
        <v>27</v>
      </c>
      <c r="C831">
        <v>10</v>
      </c>
      <c r="D831">
        <v>7084</v>
      </c>
      <c r="E831">
        <v>21</v>
      </c>
      <c r="F831">
        <v>8</v>
      </c>
      <c r="G831">
        <v>8.4789689406752586</v>
      </c>
      <c r="H831" t="s">
        <v>525</v>
      </c>
      <c r="I831" t="s">
        <v>29</v>
      </c>
      <c r="J831">
        <v>0</v>
      </c>
      <c r="K831">
        <v>68</v>
      </c>
      <c r="L831" t="s">
        <v>441</v>
      </c>
      <c r="M831">
        <v>1947</v>
      </c>
      <c r="N831">
        <v>3.7776192622259259</v>
      </c>
      <c r="O831">
        <v>10.762872062623501</v>
      </c>
      <c r="P831">
        <v>2.499461960978806</v>
      </c>
      <c r="Q831">
        <v>10.126459673047069</v>
      </c>
      <c r="R831">
        <v>1</v>
      </c>
      <c r="S831" t="s">
        <v>437</v>
      </c>
      <c r="T831">
        <v>2022</v>
      </c>
      <c r="U831" s="1">
        <v>45901.600802198707</v>
      </c>
      <c r="V831" t="s">
        <v>32</v>
      </c>
      <c r="W831" t="s">
        <v>152</v>
      </c>
      <c r="X831">
        <v>0.92912002872609201</v>
      </c>
      <c r="Y831">
        <v>0.94351094525449297</v>
      </c>
      <c r="Z831">
        <v>-0.76287206262350082</v>
      </c>
      <c r="AA831">
        <v>3.143297380585516</v>
      </c>
      <c r="AB831">
        <v>0.49751334650031592</v>
      </c>
    </row>
    <row r="832" spans="1:28" x14ac:dyDescent="0.25">
      <c r="A832">
        <v>1</v>
      </c>
      <c r="B832">
        <v>33</v>
      </c>
      <c r="C832">
        <v>10</v>
      </c>
      <c r="D832">
        <v>9983</v>
      </c>
      <c r="E832">
        <v>23</v>
      </c>
      <c r="F832">
        <v>9</v>
      </c>
      <c r="G832">
        <v>10.0940504912287</v>
      </c>
      <c r="H832" t="s">
        <v>541</v>
      </c>
      <c r="I832" t="s">
        <v>29</v>
      </c>
      <c r="J832">
        <v>0</v>
      </c>
      <c r="K832">
        <v>61</v>
      </c>
      <c r="L832" t="s">
        <v>451</v>
      </c>
      <c r="M832">
        <v>2131</v>
      </c>
      <c r="N832">
        <v>2.8929035430774088</v>
      </c>
      <c r="O832">
        <v>10.85534850694239</v>
      </c>
      <c r="P832">
        <v>1.8604375552386041</v>
      </c>
      <c r="Q832">
        <v>13.43189179524779</v>
      </c>
      <c r="R832">
        <v>2</v>
      </c>
      <c r="S832" t="s">
        <v>437</v>
      </c>
      <c r="T832">
        <v>2022</v>
      </c>
      <c r="U832" s="1">
        <v>45901.600802198707</v>
      </c>
      <c r="V832" t="s">
        <v>32</v>
      </c>
      <c r="W832" t="s">
        <v>152</v>
      </c>
      <c r="X832">
        <v>0.92120487827771125</v>
      </c>
      <c r="Y832">
        <v>0.8916143234889321</v>
      </c>
      <c r="Z832">
        <v>-0.8553485069423914</v>
      </c>
      <c r="AA832">
        <v>2.576255279211638</v>
      </c>
      <c r="AB832">
        <v>0.45846145735561478</v>
      </c>
    </row>
    <row r="833" spans="1:28" x14ac:dyDescent="0.25">
      <c r="A833">
        <v>3</v>
      </c>
      <c r="B833">
        <v>33</v>
      </c>
      <c r="C833">
        <v>24</v>
      </c>
      <c r="D833">
        <v>7006</v>
      </c>
      <c r="E833">
        <v>36</v>
      </c>
      <c r="F833">
        <v>22</v>
      </c>
      <c r="G833">
        <v>17.633207097649571</v>
      </c>
      <c r="H833" t="s">
        <v>517</v>
      </c>
      <c r="I833" t="s">
        <v>29</v>
      </c>
      <c r="J833">
        <v>0</v>
      </c>
      <c r="K833">
        <v>109</v>
      </c>
      <c r="L833" t="s">
        <v>436</v>
      </c>
      <c r="M833">
        <v>2688</v>
      </c>
      <c r="N833">
        <v>4.2283757030963898</v>
      </c>
      <c r="O833">
        <v>19.91710357367992</v>
      </c>
      <c r="P833">
        <v>11.011354323476549</v>
      </c>
      <c r="Q833">
        <v>29.067481845617291</v>
      </c>
      <c r="R833">
        <v>5</v>
      </c>
      <c r="S833" t="s">
        <v>437</v>
      </c>
      <c r="T833">
        <v>2023</v>
      </c>
      <c r="U833" s="1">
        <v>45901.600802198707</v>
      </c>
      <c r="V833" t="s">
        <v>32</v>
      </c>
      <c r="W833" t="s">
        <v>162</v>
      </c>
      <c r="X833">
        <v>1.2049944868347</v>
      </c>
      <c r="Y833">
        <v>1.2476459828418001</v>
      </c>
      <c r="Z833">
        <v>4.082896426320076</v>
      </c>
      <c r="AA833">
        <v>3.6495535714285721</v>
      </c>
      <c r="AB833">
        <v>0.66686730715446174</v>
      </c>
    </row>
    <row r="834" spans="1:28" x14ac:dyDescent="0.25">
      <c r="A834">
        <v>4</v>
      </c>
      <c r="B834">
        <v>33</v>
      </c>
      <c r="C834">
        <v>16</v>
      </c>
      <c r="D834">
        <v>7084</v>
      </c>
      <c r="E834">
        <v>29</v>
      </c>
      <c r="F834">
        <v>14</v>
      </c>
      <c r="G834">
        <v>15.11478780955076</v>
      </c>
      <c r="H834" t="s">
        <v>525</v>
      </c>
      <c r="I834" t="s">
        <v>29</v>
      </c>
      <c r="J834">
        <v>1</v>
      </c>
      <c r="K834">
        <v>110</v>
      </c>
      <c r="L834" t="s">
        <v>441</v>
      </c>
      <c r="M834">
        <v>2346</v>
      </c>
      <c r="N834">
        <v>2.741422343999147</v>
      </c>
      <c r="O834">
        <v>18.159983120858669</v>
      </c>
      <c r="P834">
        <v>3.5487450249493122</v>
      </c>
      <c r="Q834">
        <v>15.92420274019241</v>
      </c>
      <c r="R834">
        <v>6</v>
      </c>
      <c r="S834" t="s">
        <v>437</v>
      </c>
      <c r="T834">
        <v>2023</v>
      </c>
      <c r="U834" s="1">
        <v>45901.600802198707</v>
      </c>
      <c r="V834" t="s">
        <v>32</v>
      </c>
      <c r="W834" t="s">
        <v>162</v>
      </c>
      <c r="X834">
        <v>0.88105808763788451</v>
      </c>
      <c r="Y834">
        <v>0.92624522265232545</v>
      </c>
      <c r="Z834">
        <v>-2.1599831208586688</v>
      </c>
      <c r="AA834">
        <v>4.2199488491048589</v>
      </c>
      <c r="AB834">
        <v>0.69667454427846554</v>
      </c>
    </row>
    <row r="835" spans="1:28" x14ac:dyDescent="0.25">
      <c r="A835">
        <v>8</v>
      </c>
      <c r="B835">
        <v>35</v>
      </c>
      <c r="C835">
        <v>15</v>
      </c>
      <c r="D835">
        <v>502</v>
      </c>
      <c r="E835">
        <v>32</v>
      </c>
      <c r="F835">
        <v>11</v>
      </c>
      <c r="G835">
        <v>11.756847977638239</v>
      </c>
      <c r="H835" t="s">
        <v>43</v>
      </c>
      <c r="I835" t="s">
        <v>29</v>
      </c>
      <c r="J835">
        <v>1</v>
      </c>
      <c r="K835">
        <v>77</v>
      </c>
      <c r="L835" t="s">
        <v>445</v>
      </c>
      <c r="M835">
        <v>2397</v>
      </c>
      <c r="N835">
        <v>5.820083811879158</v>
      </c>
      <c r="O835">
        <v>15.563342081382871</v>
      </c>
      <c r="P835">
        <v>2.2560079544782639</v>
      </c>
      <c r="Q835">
        <v>15.760634485632179</v>
      </c>
      <c r="R835">
        <v>1</v>
      </c>
      <c r="S835" t="s">
        <v>437</v>
      </c>
      <c r="T835">
        <v>2023</v>
      </c>
      <c r="U835" s="1">
        <v>45901.600802198707</v>
      </c>
      <c r="V835" t="s">
        <v>32</v>
      </c>
      <c r="W835" t="s">
        <v>162</v>
      </c>
      <c r="X835">
        <v>0.96380327063190685</v>
      </c>
      <c r="Y835">
        <v>0.93562492437787881</v>
      </c>
      <c r="Z835">
        <v>-0.56334208138287067</v>
      </c>
      <c r="AA835">
        <v>2.8911138923654569</v>
      </c>
      <c r="AB835">
        <v>0.58435577276781747</v>
      </c>
    </row>
    <row r="836" spans="1:28" x14ac:dyDescent="0.25">
      <c r="A836">
        <v>3</v>
      </c>
      <c r="B836">
        <v>25</v>
      </c>
      <c r="C836">
        <v>15</v>
      </c>
      <c r="D836">
        <v>5322</v>
      </c>
      <c r="E836">
        <v>24</v>
      </c>
      <c r="F836">
        <v>12</v>
      </c>
      <c r="G836">
        <v>13.271414129063491</v>
      </c>
      <c r="H836" t="s">
        <v>531</v>
      </c>
      <c r="I836" t="s">
        <v>29</v>
      </c>
      <c r="J836">
        <v>1</v>
      </c>
      <c r="K836">
        <v>90</v>
      </c>
      <c r="L836" t="s">
        <v>443</v>
      </c>
      <c r="M836">
        <v>2015</v>
      </c>
      <c r="N836">
        <v>3.6298218183219428</v>
      </c>
      <c r="O836">
        <v>17.077908156439658</v>
      </c>
      <c r="P836">
        <v>3.570696316659451</v>
      </c>
      <c r="Q836">
        <v>17.01610595732927</v>
      </c>
      <c r="R836">
        <v>4</v>
      </c>
      <c r="S836" t="s">
        <v>437</v>
      </c>
      <c r="T836">
        <v>2023</v>
      </c>
      <c r="U836" s="1">
        <v>45901.600802198707</v>
      </c>
      <c r="V836" t="s">
        <v>32</v>
      </c>
      <c r="W836" t="s">
        <v>162</v>
      </c>
      <c r="X836">
        <v>0.87832771218785755</v>
      </c>
      <c r="Y836">
        <v>0.90419904640914051</v>
      </c>
      <c r="Z836">
        <v>-2.077908156439662</v>
      </c>
      <c r="AA836">
        <v>4.0198511166253104</v>
      </c>
      <c r="AB836">
        <v>0.76278497969209413</v>
      </c>
    </row>
    <row r="837" spans="1:28" x14ac:dyDescent="0.25">
      <c r="A837">
        <v>4</v>
      </c>
      <c r="B837">
        <v>35</v>
      </c>
      <c r="C837">
        <v>14</v>
      </c>
      <c r="D837">
        <v>10366</v>
      </c>
      <c r="E837">
        <v>79</v>
      </c>
      <c r="F837">
        <v>10</v>
      </c>
      <c r="G837">
        <v>6.7763914875686169</v>
      </c>
      <c r="H837" t="s">
        <v>550</v>
      </c>
      <c r="I837" t="s">
        <v>35</v>
      </c>
      <c r="J837">
        <v>0</v>
      </c>
      <c r="K837">
        <v>56</v>
      </c>
      <c r="L837" t="s">
        <v>453</v>
      </c>
      <c r="M837">
        <v>3034</v>
      </c>
      <c r="N837">
        <v>5.5031986562535167</v>
      </c>
      <c r="O837">
        <v>10.58288561925292</v>
      </c>
      <c r="P837">
        <v>3.6251121954992418</v>
      </c>
      <c r="Q837">
        <v>11.851484376937149</v>
      </c>
      <c r="R837">
        <v>4</v>
      </c>
      <c r="S837" t="s">
        <v>437</v>
      </c>
      <c r="T837">
        <v>2023</v>
      </c>
      <c r="U837" s="1">
        <v>45901.600802198707</v>
      </c>
      <c r="V837" t="s">
        <v>32</v>
      </c>
      <c r="W837" t="s">
        <v>162</v>
      </c>
      <c r="X837">
        <v>1.322890608827</v>
      </c>
      <c r="Y837">
        <v>1.475711670192777</v>
      </c>
      <c r="Z837">
        <v>3.4171143807470798</v>
      </c>
      <c r="AA837">
        <v>1.6611733684904419</v>
      </c>
      <c r="AB837">
        <v>0.31392870986577548</v>
      </c>
    </row>
    <row r="838" spans="1:28" x14ac:dyDescent="0.25">
      <c r="A838">
        <v>3</v>
      </c>
      <c r="B838">
        <v>32</v>
      </c>
      <c r="C838">
        <v>13</v>
      </c>
      <c r="D838">
        <v>594</v>
      </c>
      <c r="E838">
        <v>29</v>
      </c>
      <c r="F838">
        <v>13</v>
      </c>
      <c r="G838">
        <v>11.04409058298916</v>
      </c>
      <c r="H838" t="s">
        <v>63</v>
      </c>
      <c r="I838" t="s">
        <v>29</v>
      </c>
      <c r="J838">
        <v>1</v>
      </c>
      <c r="K838">
        <v>65</v>
      </c>
      <c r="L838" t="s">
        <v>467</v>
      </c>
      <c r="M838">
        <v>2665</v>
      </c>
      <c r="N838">
        <v>2.7021777480840679</v>
      </c>
      <c r="O838">
        <v>11.805389358662071</v>
      </c>
      <c r="P838">
        <v>3.6604051254689689</v>
      </c>
      <c r="Q838">
        <v>16.63934833556414</v>
      </c>
      <c r="R838">
        <v>5</v>
      </c>
      <c r="S838" t="s">
        <v>437</v>
      </c>
      <c r="T838">
        <v>2023</v>
      </c>
      <c r="U838" s="1">
        <v>45901.600802198707</v>
      </c>
      <c r="V838" t="s">
        <v>32</v>
      </c>
      <c r="W838" t="s">
        <v>162</v>
      </c>
      <c r="X838">
        <v>1.1011919730086159</v>
      </c>
      <c r="Y838">
        <v>1.1771000882610889</v>
      </c>
      <c r="Z838">
        <v>1.1946106413379309</v>
      </c>
      <c r="AA838">
        <v>2.1951219512195119</v>
      </c>
      <c r="AB838">
        <v>0.39868106652142082</v>
      </c>
    </row>
    <row r="839" spans="1:28" x14ac:dyDescent="0.25">
      <c r="A839">
        <v>4</v>
      </c>
      <c r="B839">
        <v>37</v>
      </c>
      <c r="C839">
        <v>13</v>
      </c>
      <c r="D839">
        <v>1148</v>
      </c>
      <c r="E839">
        <v>29</v>
      </c>
      <c r="F839">
        <v>13</v>
      </c>
      <c r="G839">
        <v>12.924597828648981</v>
      </c>
      <c r="H839" t="s">
        <v>496</v>
      </c>
      <c r="I839" t="s">
        <v>29</v>
      </c>
      <c r="J839">
        <v>0</v>
      </c>
      <c r="K839">
        <v>104</v>
      </c>
      <c r="L839" t="s">
        <v>551</v>
      </c>
      <c r="M839">
        <v>3036</v>
      </c>
      <c r="N839">
        <v>3.0231062266975641</v>
      </c>
      <c r="O839">
        <v>12.924597828648981</v>
      </c>
      <c r="P839">
        <v>6.094204256311059</v>
      </c>
      <c r="Q839">
        <v>16.45599003881216</v>
      </c>
      <c r="R839">
        <v>2</v>
      </c>
      <c r="S839" t="s">
        <v>437</v>
      </c>
      <c r="T839">
        <v>2023</v>
      </c>
      <c r="U839" s="1">
        <v>45901.600802198707</v>
      </c>
      <c r="V839" t="s">
        <v>32</v>
      </c>
      <c r="W839" t="s">
        <v>162</v>
      </c>
      <c r="X839">
        <v>1.005834005231782</v>
      </c>
      <c r="Y839">
        <v>1.005834005231782</v>
      </c>
      <c r="Z839">
        <v>7.5402171351015568E-2</v>
      </c>
      <c r="AA839">
        <v>3.0830039525691699</v>
      </c>
      <c r="AB839">
        <v>0.38314025183742051</v>
      </c>
    </row>
    <row r="840" spans="1:28" x14ac:dyDescent="0.25">
      <c r="A840">
        <v>9</v>
      </c>
      <c r="B840">
        <v>28</v>
      </c>
      <c r="C840">
        <v>13</v>
      </c>
      <c r="D840">
        <v>1294</v>
      </c>
      <c r="E840">
        <v>50</v>
      </c>
      <c r="F840">
        <v>6</v>
      </c>
      <c r="G840">
        <v>5.4191541848704219</v>
      </c>
      <c r="H840" t="s">
        <v>456</v>
      </c>
      <c r="I840" t="s">
        <v>35</v>
      </c>
      <c r="J840">
        <v>0</v>
      </c>
      <c r="K840">
        <v>59</v>
      </c>
      <c r="L840" t="s">
        <v>467</v>
      </c>
      <c r="M840">
        <v>2011</v>
      </c>
      <c r="N840">
        <v>5.3634110689163208</v>
      </c>
      <c r="O840">
        <v>10.74824593961239</v>
      </c>
      <c r="P840">
        <v>8.1601329743862152</v>
      </c>
      <c r="Q840">
        <v>13.22586372122168</v>
      </c>
      <c r="R840">
        <v>3</v>
      </c>
      <c r="S840" t="s">
        <v>437</v>
      </c>
      <c r="T840">
        <v>2023</v>
      </c>
      <c r="U840" s="1">
        <v>45901.600802198707</v>
      </c>
      <c r="V840" t="s">
        <v>32</v>
      </c>
      <c r="W840" t="s">
        <v>162</v>
      </c>
      <c r="X840">
        <v>1.209499677718467</v>
      </c>
      <c r="Y840">
        <v>1.1071838510797909</v>
      </c>
      <c r="Z840">
        <v>2.2517540603876109</v>
      </c>
      <c r="AA840">
        <v>2.640477374440577</v>
      </c>
      <c r="AB840">
        <v>0.48102542743168331</v>
      </c>
    </row>
    <row r="841" spans="1:28" x14ac:dyDescent="0.25">
      <c r="A841">
        <v>7</v>
      </c>
      <c r="B841">
        <v>35</v>
      </c>
      <c r="C841">
        <v>13</v>
      </c>
      <c r="D841">
        <v>5992</v>
      </c>
      <c r="E841">
        <v>30</v>
      </c>
      <c r="F841">
        <v>13</v>
      </c>
      <c r="G841">
        <v>15.489109393209221</v>
      </c>
      <c r="H841" t="s">
        <v>397</v>
      </c>
      <c r="I841" t="s">
        <v>29</v>
      </c>
      <c r="J841">
        <v>0</v>
      </c>
      <c r="K841">
        <v>77</v>
      </c>
      <c r="L841" t="s">
        <v>436</v>
      </c>
      <c r="M841">
        <v>2750</v>
      </c>
      <c r="N841">
        <v>4.3814679179340601</v>
      </c>
      <c r="O841">
        <v>15.489109393209221</v>
      </c>
      <c r="P841">
        <v>8.5356337651610374</v>
      </c>
      <c r="Q841">
        <v>25.697542982175939</v>
      </c>
      <c r="R841">
        <v>3</v>
      </c>
      <c r="S841" t="s">
        <v>437</v>
      </c>
      <c r="T841">
        <v>2023</v>
      </c>
      <c r="U841" s="1">
        <v>45901.600802198707</v>
      </c>
      <c r="V841" t="s">
        <v>32</v>
      </c>
      <c r="W841" t="s">
        <v>162</v>
      </c>
      <c r="X841">
        <v>0.83929938578001761</v>
      </c>
      <c r="Y841">
        <v>0.83929938578001761</v>
      </c>
      <c r="Z841">
        <v>-2.4891093932092212</v>
      </c>
      <c r="AA841">
        <v>2.52</v>
      </c>
      <c r="AB841">
        <v>0.50691630741411997</v>
      </c>
    </row>
    <row r="842" spans="1:28" x14ac:dyDescent="0.25">
      <c r="A842">
        <v>8</v>
      </c>
      <c r="B842">
        <v>36</v>
      </c>
      <c r="C842">
        <v>12</v>
      </c>
      <c r="D842">
        <v>2662</v>
      </c>
      <c r="E842">
        <v>45</v>
      </c>
      <c r="F842">
        <v>12</v>
      </c>
      <c r="G842">
        <v>8.1127755101770163</v>
      </c>
      <c r="H842" t="s">
        <v>552</v>
      </c>
      <c r="I842" t="s">
        <v>35</v>
      </c>
      <c r="J842">
        <v>0</v>
      </c>
      <c r="K842">
        <v>65</v>
      </c>
      <c r="L842" t="s">
        <v>445</v>
      </c>
      <c r="M842">
        <v>2658</v>
      </c>
      <c r="N842">
        <v>5.2475365651771426</v>
      </c>
      <c r="O842">
        <v>8.1127755101770163</v>
      </c>
      <c r="P842">
        <v>8.2860070560127497</v>
      </c>
      <c r="Q842">
        <v>19.752323344349861</v>
      </c>
      <c r="R842">
        <v>2</v>
      </c>
      <c r="S842" t="s">
        <v>437</v>
      </c>
      <c r="T842">
        <v>2023</v>
      </c>
      <c r="U842" s="1">
        <v>45901.600802198707</v>
      </c>
      <c r="V842" t="s">
        <v>32</v>
      </c>
      <c r="W842" t="s">
        <v>162</v>
      </c>
      <c r="X842">
        <v>1.4791485336857499</v>
      </c>
      <c r="Y842">
        <v>1.4791485336857499</v>
      </c>
      <c r="Z842">
        <v>3.8872244898229842</v>
      </c>
      <c r="AA842">
        <v>2.2009029345372459</v>
      </c>
      <c r="AB842">
        <v>0.27469894503985381</v>
      </c>
    </row>
    <row r="843" spans="1:28" x14ac:dyDescent="0.25">
      <c r="A843">
        <v>6</v>
      </c>
      <c r="B843">
        <v>29</v>
      </c>
      <c r="C843">
        <v>12</v>
      </c>
      <c r="D843">
        <v>6253</v>
      </c>
      <c r="E843">
        <v>33</v>
      </c>
      <c r="F843">
        <v>12</v>
      </c>
      <c r="G843">
        <v>8.273879911750555</v>
      </c>
      <c r="H843" t="s">
        <v>534</v>
      </c>
      <c r="I843" t="s">
        <v>29</v>
      </c>
      <c r="J843">
        <v>0</v>
      </c>
      <c r="K843">
        <v>60</v>
      </c>
      <c r="L843" t="s">
        <v>482</v>
      </c>
      <c r="M843">
        <v>1445</v>
      </c>
      <c r="N843">
        <v>3.8059695661067958</v>
      </c>
      <c r="O843">
        <v>8.273879911750555</v>
      </c>
      <c r="P843">
        <v>4.0841587390750647</v>
      </c>
      <c r="Q843">
        <v>13.530910216271881</v>
      </c>
      <c r="R843">
        <v>1</v>
      </c>
      <c r="S843" t="s">
        <v>437</v>
      </c>
      <c r="T843">
        <v>2023</v>
      </c>
      <c r="U843" s="1">
        <v>45901.600802198707</v>
      </c>
      <c r="V843" t="s">
        <v>32</v>
      </c>
      <c r="W843" t="s">
        <v>162</v>
      </c>
      <c r="X843">
        <v>1.4503473736617341</v>
      </c>
      <c r="Y843">
        <v>1.4503473736617341</v>
      </c>
      <c r="Z843">
        <v>3.726120088249445</v>
      </c>
      <c r="AA843">
        <v>3.7370242214532872</v>
      </c>
      <c r="AB843">
        <v>0.5153281605934602</v>
      </c>
    </row>
    <row r="844" spans="1:28" x14ac:dyDescent="0.25">
      <c r="A844">
        <v>4</v>
      </c>
      <c r="B844">
        <v>34</v>
      </c>
      <c r="C844">
        <v>12</v>
      </c>
      <c r="D844">
        <v>8044</v>
      </c>
      <c r="E844">
        <v>43</v>
      </c>
      <c r="F844">
        <v>10</v>
      </c>
      <c r="G844">
        <v>7.5841453950852156</v>
      </c>
      <c r="H844" t="s">
        <v>553</v>
      </c>
      <c r="I844" t="s">
        <v>29</v>
      </c>
      <c r="J844">
        <v>0</v>
      </c>
      <c r="K844">
        <v>86</v>
      </c>
      <c r="L844" t="s">
        <v>495</v>
      </c>
      <c r="M844">
        <v>2802</v>
      </c>
      <c r="N844">
        <v>6.0383808510378003</v>
      </c>
      <c r="O844">
        <v>9.106743048876524</v>
      </c>
      <c r="P844">
        <v>6.8574269702658057</v>
      </c>
      <c r="Q844">
        <v>16.88792826980352</v>
      </c>
      <c r="R844">
        <v>8</v>
      </c>
      <c r="S844" t="s">
        <v>437</v>
      </c>
      <c r="T844">
        <v>2023</v>
      </c>
      <c r="U844" s="1">
        <v>45901.600802198707</v>
      </c>
      <c r="V844" t="s">
        <v>32</v>
      </c>
      <c r="W844" t="s">
        <v>162</v>
      </c>
      <c r="X844">
        <v>1.317704906748238</v>
      </c>
      <c r="Y844">
        <v>1.3185401227250131</v>
      </c>
      <c r="Z844">
        <v>2.893256951123476</v>
      </c>
      <c r="AA844">
        <v>2.762312633832976</v>
      </c>
      <c r="AB844">
        <v>0.2925078067090961</v>
      </c>
    </row>
    <row r="845" spans="1:28" x14ac:dyDescent="0.25">
      <c r="A845">
        <v>5</v>
      </c>
      <c r="B845">
        <v>34</v>
      </c>
      <c r="C845">
        <v>12</v>
      </c>
      <c r="D845">
        <v>9969</v>
      </c>
      <c r="E845">
        <v>59</v>
      </c>
      <c r="F845">
        <v>10</v>
      </c>
      <c r="G845">
        <v>4.9545821659266949</v>
      </c>
      <c r="H845" t="s">
        <v>554</v>
      </c>
      <c r="I845" t="s">
        <v>35</v>
      </c>
      <c r="J845">
        <v>0</v>
      </c>
      <c r="K845">
        <v>54</v>
      </c>
      <c r="L845" t="s">
        <v>482</v>
      </c>
      <c r="M845">
        <v>2641</v>
      </c>
      <c r="N845">
        <v>6.8475224273279309</v>
      </c>
      <c r="O845">
        <v>6.477179829031229</v>
      </c>
      <c r="P845">
        <v>11.48468583449721</v>
      </c>
      <c r="Q845">
        <v>18.902232628315691</v>
      </c>
      <c r="R845">
        <v>5</v>
      </c>
      <c r="S845" t="s">
        <v>437</v>
      </c>
      <c r="T845">
        <v>2023</v>
      </c>
      <c r="U845" s="1">
        <v>45901.600802198707</v>
      </c>
      <c r="V845" t="s">
        <v>32</v>
      </c>
      <c r="W845" t="s">
        <v>162</v>
      </c>
      <c r="X845">
        <v>1.8526581501126549</v>
      </c>
      <c r="Y845">
        <v>2.0183336687342268</v>
      </c>
      <c r="Z845">
        <v>5.522820170968771</v>
      </c>
      <c r="AA845">
        <v>1.8402120408936009</v>
      </c>
      <c r="AB845">
        <v>0.22072933911882259</v>
      </c>
    </row>
    <row r="846" spans="1:28" x14ac:dyDescent="0.25">
      <c r="A846">
        <v>1</v>
      </c>
      <c r="B846">
        <v>38</v>
      </c>
      <c r="C846">
        <v>11</v>
      </c>
      <c r="D846">
        <v>4895</v>
      </c>
      <c r="E846">
        <v>18</v>
      </c>
      <c r="F846">
        <v>9</v>
      </c>
      <c r="G846">
        <v>7.8171752188354731</v>
      </c>
      <c r="H846" t="s">
        <v>536</v>
      </c>
      <c r="I846" t="s">
        <v>29</v>
      </c>
      <c r="J846">
        <v>0</v>
      </c>
      <c r="K846">
        <v>84</v>
      </c>
      <c r="L846" t="s">
        <v>449</v>
      </c>
      <c r="M846">
        <v>3161</v>
      </c>
      <c r="N846">
        <v>1.9918804159387939</v>
      </c>
      <c r="O846">
        <v>10.10107168741524</v>
      </c>
      <c r="P846">
        <v>4.147701982408762</v>
      </c>
      <c r="Q846">
        <v>12.74514217115939</v>
      </c>
      <c r="R846">
        <v>4</v>
      </c>
      <c r="S846" t="s">
        <v>437</v>
      </c>
      <c r="T846">
        <v>2023</v>
      </c>
      <c r="U846" s="1">
        <v>45901.600802198707</v>
      </c>
      <c r="V846" t="s">
        <v>32</v>
      </c>
      <c r="W846" t="s">
        <v>162</v>
      </c>
      <c r="X846">
        <v>1.088993360348558</v>
      </c>
      <c r="Y846">
        <v>1.1513110232343919</v>
      </c>
      <c r="Z846">
        <v>0.8989283125847578</v>
      </c>
      <c r="AA846">
        <v>2.3916482125909519</v>
      </c>
      <c r="AB846">
        <v>0.28759773864833021</v>
      </c>
    </row>
    <row r="847" spans="1:28" x14ac:dyDescent="0.25">
      <c r="A847">
        <v>7</v>
      </c>
      <c r="B847">
        <v>31</v>
      </c>
      <c r="C847">
        <v>11</v>
      </c>
      <c r="D847">
        <v>5556</v>
      </c>
      <c r="E847">
        <v>49</v>
      </c>
      <c r="F847">
        <v>11</v>
      </c>
      <c r="G847">
        <v>11.020978674292561</v>
      </c>
      <c r="H847" t="s">
        <v>546</v>
      </c>
      <c r="I847" t="s">
        <v>35</v>
      </c>
      <c r="J847">
        <v>0</v>
      </c>
      <c r="K847">
        <v>67</v>
      </c>
      <c r="L847" t="s">
        <v>482</v>
      </c>
      <c r="M847">
        <v>1930</v>
      </c>
      <c r="N847">
        <v>6.3602783959358931</v>
      </c>
      <c r="O847">
        <v>11.020978674292561</v>
      </c>
      <c r="P847">
        <v>5.5482670161873102</v>
      </c>
      <c r="Q847">
        <v>19.68611168302596</v>
      </c>
      <c r="R847">
        <v>4</v>
      </c>
      <c r="S847" t="s">
        <v>437</v>
      </c>
      <c r="T847">
        <v>2023</v>
      </c>
      <c r="U847" s="1">
        <v>45901.600802198707</v>
      </c>
      <c r="V847" t="s">
        <v>32</v>
      </c>
      <c r="W847" t="s">
        <v>162</v>
      </c>
      <c r="X847">
        <v>0.99809647809758506</v>
      </c>
      <c r="Y847">
        <v>0.99809647809758506</v>
      </c>
      <c r="Z847">
        <v>-2.0978674292564389E-2</v>
      </c>
      <c r="AA847">
        <v>3.1243523316062181</v>
      </c>
      <c r="AB847">
        <v>0.51393164802400559</v>
      </c>
    </row>
    <row r="848" spans="1:28" x14ac:dyDescent="0.25">
      <c r="A848">
        <v>6</v>
      </c>
      <c r="B848">
        <v>34</v>
      </c>
      <c r="C848">
        <v>11</v>
      </c>
      <c r="D848">
        <v>7453</v>
      </c>
      <c r="E848">
        <v>63</v>
      </c>
      <c r="F848">
        <v>11</v>
      </c>
      <c r="G848">
        <v>12.98851395398378</v>
      </c>
      <c r="H848" t="s">
        <v>547</v>
      </c>
      <c r="I848" t="s">
        <v>35</v>
      </c>
      <c r="J848">
        <v>0</v>
      </c>
      <c r="K848">
        <v>129</v>
      </c>
      <c r="L848" t="s">
        <v>443</v>
      </c>
      <c r="M848">
        <v>2774</v>
      </c>
      <c r="N848">
        <v>6.7603407800197601</v>
      </c>
      <c r="O848">
        <v>12.98851395398378</v>
      </c>
      <c r="P848">
        <v>8.8982998635619879</v>
      </c>
      <c r="Q848">
        <v>24.399165177717801</v>
      </c>
      <c r="R848">
        <v>8</v>
      </c>
      <c r="S848" t="s">
        <v>437</v>
      </c>
      <c r="T848">
        <v>2023</v>
      </c>
      <c r="U848" s="1">
        <v>45901.600802198707</v>
      </c>
      <c r="V848" t="s">
        <v>32</v>
      </c>
      <c r="W848" t="s">
        <v>162</v>
      </c>
      <c r="X848">
        <v>0.84690211974758856</v>
      </c>
      <c r="Y848">
        <v>0.84690211974758856</v>
      </c>
      <c r="Z848">
        <v>-1.9885139539837839</v>
      </c>
      <c r="AA848">
        <v>4.185291997116078</v>
      </c>
      <c r="AB848">
        <v>0.4214009574111538</v>
      </c>
    </row>
    <row r="849" spans="1:28" x14ac:dyDescent="0.25">
      <c r="A849">
        <v>3</v>
      </c>
      <c r="B849">
        <v>36</v>
      </c>
      <c r="C849">
        <v>11</v>
      </c>
      <c r="D849">
        <v>9965</v>
      </c>
      <c r="E849">
        <v>81</v>
      </c>
      <c r="F849">
        <v>6</v>
      </c>
      <c r="G849">
        <v>6.4343434888869524</v>
      </c>
      <c r="H849" t="s">
        <v>555</v>
      </c>
      <c r="I849" t="s">
        <v>49</v>
      </c>
      <c r="J849">
        <v>0</v>
      </c>
      <c r="K849">
        <v>84</v>
      </c>
      <c r="L849" t="s">
        <v>556</v>
      </c>
      <c r="M849">
        <v>3173</v>
      </c>
      <c r="N849">
        <v>6.4020626489073038</v>
      </c>
      <c r="O849">
        <v>11.002136468887331</v>
      </c>
      <c r="P849">
        <v>9.6472935490310192</v>
      </c>
      <c r="Q849">
        <v>18.08963089808822</v>
      </c>
      <c r="R849">
        <v>4</v>
      </c>
      <c r="S849" t="s">
        <v>437</v>
      </c>
      <c r="T849">
        <v>2023</v>
      </c>
      <c r="U849" s="1">
        <v>45901.600802198707</v>
      </c>
      <c r="V849" t="s">
        <v>32</v>
      </c>
      <c r="W849" t="s">
        <v>162</v>
      </c>
      <c r="X849">
        <v>0.99980581327150697</v>
      </c>
      <c r="Y849">
        <v>0.93249606744850866</v>
      </c>
      <c r="Z849">
        <v>-2.1364688873273252E-3</v>
      </c>
      <c r="AA849">
        <v>2.3826032146233849</v>
      </c>
      <c r="AB849">
        <v>0.31206816331543002</v>
      </c>
    </row>
    <row r="850" spans="1:28" x14ac:dyDescent="0.25">
      <c r="A850">
        <v>8</v>
      </c>
      <c r="B850">
        <v>35</v>
      </c>
      <c r="C850">
        <v>10</v>
      </c>
      <c r="D850">
        <v>10877</v>
      </c>
      <c r="E850">
        <v>49</v>
      </c>
      <c r="F850">
        <v>9</v>
      </c>
      <c r="G850">
        <v>6.8155649974942207</v>
      </c>
      <c r="H850" t="s">
        <v>557</v>
      </c>
      <c r="I850" t="s">
        <v>35</v>
      </c>
      <c r="J850">
        <v>0</v>
      </c>
      <c r="K850">
        <v>45</v>
      </c>
      <c r="L850" t="s">
        <v>482</v>
      </c>
      <c r="M850">
        <v>2064</v>
      </c>
      <c r="N850">
        <v>7.6734569370746613</v>
      </c>
      <c r="O850">
        <v>7.5768638402223587</v>
      </c>
      <c r="P850">
        <v>7.4744699094444513</v>
      </c>
      <c r="Q850">
        <v>17.620949408039451</v>
      </c>
      <c r="R850">
        <v>1</v>
      </c>
      <c r="S850" t="s">
        <v>437</v>
      </c>
      <c r="T850">
        <v>2023</v>
      </c>
      <c r="U850" s="1">
        <v>45901.600802198707</v>
      </c>
      <c r="V850" t="s">
        <v>32</v>
      </c>
      <c r="W850" t="s">
        <v>162</v>
      </c>
      <c r="X850">
        <v>1.319807272623039</v>
      </c>
      <c r="Y850">
        <v>1.320506810999367</v>
      </c>
      <c r="Z850">
        <v>2.4231361597776409</v>
      </c>
      <c r="AA850">
        <v>1.962209302325582</v>
      </c>
      <c r="AB850">
        <v>0.33038650466085873</v>
      </c>
    </row>
    <row r="851" spans="1:28" x14ac:dyDescent="0.25">
      <c r="A851">
        <v>8</v>
      </c>
      <c r="B851">
        <v>36</v>
      </c>
      <c r="C851">
        <v>25</v>
      </c>
      <c r="D851">
        <v>11898</v>
      </c>
      <c r="E851">
        <v>38</v>
      </c>
      <c r="F851">
        <v>21</v>
      </c>
      <c r="G851">
        <v>19.25231716409326</v>
      </c>
      <c r="H851" t="s">
        <v>558</v>
      </c>
      <c r="I851" t="s">
        <v>29</v>
      </c>
      <c r="J851">
        <v>0</v>
      </c>
      <c r="K851">
        <v>104</v>
      </c>
      <c r="L851" t="s">
        <v>482</v>
      </c>
      <c r="M851">
        <v>2435</v>
      </c>
      <c r="N851">
        <v>5.4606681615114212</v>
      </c>
      <c r="O851">
        <v>23.058811441063881</v>
      </c>
      <c r="P851">
        <v>7.0630652736872443</v>
      </c>
      <c r="Q851">
        <v>26.73618371039629</v>
      </c>
      <c r="R851">
        <v>3</v>
      </c>
      <c r="S851" t="s">
        <v>437</v>
      </c>
      <c r="T851">
        <v>2024</v>
      </c>
      <c r="U851" s="1">
        <v>45901.600802198707</v>
      </c>
      <c r="V851" t="s">
        <v>32</v>
      </c>
      <c r="W851" t="s">
        <v>182</v>
      </c>
      <c r="X851">
        <v>1.0841842418416761</v>
      </c>
      <c r="Y851">
        <v>1.090777791629481</v>
      </c>
      <c r="Z851">
        <v>1.9411885589361191</v>
      </c>
      <c r="AA851">
        <v>3.8439425051334699</v>
      </c>
      <c r="AB851">
        <v>0.85227639823234058</v>
      </c>
    </row>
    <row r="852" spans="1:28" x14ac:dyDescent="0.25">
      <c r="A852">
        <v>3</v>
      </c>
      <c r="B852">
        <v>32</v>
      </c>
      <c r="C852">
        <v>19</v>
      </c>
      <c r="D852">
        <v>1304</v>
      </c>
      <c r="E852">
        <v>19</v>
      </c>
      <c r="F852">
        <v>18</v>
      </c>
      <c r="G852">
        <v>20.365155961364511</v>
      </c>
      <c r="H852" t="s">
        <v>559</v>
      </c>
      <c r="I852" t="s">
        <v>29</v>
      </c>
      <c r="J852">
        <v>0</v>
      </c>
      <c r="K852">
        <v>105</v>
      </c>
      <c r="L852" t="s">
        <v>473</v>
      </c>
      <c r="M852">
        <v>2722</v>
      </c>
      <c r="N852">
        <v>2.3220364889130001</v>
      </c>
      <c r="O852">
        <v>21.887753661721941</v>
      </c>
      <c r="P852">
        <v>2.269775720313191</v>
      </c>
      <c r="Q852">
        <v>22.372604370117191</v>
      </c>
      <c r="R852">
        <v>6</v>
      </c>
      <c r="S852" t="s">
        <v>437</v>
      </c>
      <c r="T852">
        <v>2024</v>
      </c>
      <c r="U852" s="1">
        <v>45901.600802198707</v>
      </c>
      <c r="V852" t="s">
        <v>32</v>
      </c>
      <c r="W852" t="s">
        <v>182</v>
      </c>
      <c r="X852">
        <v>0.8680653251881143</v>
      </c>
      <c r="Y852">
        <v>0.88386261485787132</v>
      </c>
      <c r="Z852">
        <v>-2.8877536617219448</v>
      </c>
      <c r="AA852">
        <v>3.4717119764878772</v>
      </c>
      <c r="AB852">
        <v>0.72369501453158525</v>
      </c>
    </row>
    <row r="853" spans="1:28" x14ac:dyDescent="0.25">
      <c r="A853">
        <v>5</v>
      </c>
      <c r="B853">
        <v>31</v>
      </c>
      <c r="C853">
        <v>15</v>
      </c>
      <c r="D853">
        <v>5556</v>
      </c>
      <c r="E853">
        <v>60</v>
      </c>
      <c r="F853">
        <v>14</v>
      </c>
      <c r="G853">
        <v>13.0474059432745</v>
      </c>
      <c r="H853" t="s">
        <v>546</v>
      </c>
      <c r="I853" t="s">
        <v>35</v>
      </c>
      <c r="J853">
        <v>0</v>
      </c>
      <c r="K853">
        <v>82</v>
      </c>
      <c r="L853" t="s">
        <v>482</v>
      </c>
      <c r="M853">
        <v>2295</v>
      </c>
      <c r="N853">
        <v>8.8872997760772705</v>
      </c>
      <c r="O853">
        <v>13.808704778552061</v>
      </c>
      <c r="P853">
        <v>8.2596596833318472</v>
      </c>
      <c r="Q853">
        <v>24.820319876074791</v>
      </c>
      <c r="R853">
        <v>4</v>
      </c>
      <c r="S853" t="s">
        <v>437</v>
      </c>
      <c r="T853">
        <v>2024</v>
      </c>
      <c r="U853" s="1">
        <v>45901.600802198707</v>
      </c>
      <c r="V853" t="s">
        <v>32</v>
      </c>
      <c r="W853" t="s">
        <v>182</v>
      </c>
      <c r="X853">
        <v>1.0862713223689371</v>
      </c>
      <c r="Y853">
        <v>1.0730102260071499</v>
      </c>
      <c r="Z853">
        <v>1.1912952214479451</v>
      </c>
      <c r="AA853">
        <v>3.215686274509804</v>
      </c>
      <c r="AB853">
        <v>0.54151783445302182</v>
      </c>
    </row>
    <row r="854" spans="1:28" x14ac:dyDescent="0.25">
      <c r="A854">
        <v>4</v>
      </c>
      <c r="B854">
        <v>30</v>
      </c>
      <c r="C854">
        <v>15</v>
      </c>
      <c r="D854">
        <v>6160</v>
      </c>
      <c r="E854">
        <v>30</v>
      </c>
      <c r="F854">
        <v>12</v>
      </c>
      <c r="G854">
        <v>8.0738950092345476</v>
      </c>
      <c r="H854" t="s">
        <v>548</v>
      </c>
      <c r="I854" t="s">
        <v>35</v>
      </c>
      <c r="J854">
        <v>0</v>
      </c>
      <c r="K854">
        <v>75</v>
      </c>
      <c r="L854" t="s">
        <v>495</v>
      </c>
      <c r="M854">
        <v>1914</v>
      </c>
      <c r="N854">
        <v>4.6525952033698559</v>
      </c>
      <c r="O854">
        <v>10.357791488990189</v>
      </c>
      <c r="P854">
        <v>3.4718147674575448</v>
      </c>
      <c r="Q854">
        <v>13.57953228056431</v>
      </c>
      <c r="R854">
        <v>2</v>
      </c>
      <c r="S854" t="s">
        <v>437</v>
      </c>
      <c r="T854">
        <v>2024</v>
      </c>
      <c r="U854" s="1">
        <v>45901.600802198707</v>
      </c>
      <c r="V854" t="s">
        <v>32</v>
      </c>
      <c r="W854" t="s">
        <v>182</v>
      </c>
      <c r="X854">
        <v>1.448185167267003</v>
      </c>
      <c r="Y854">
        <v>1.4862714942756821</v>
      </c>
      <c r="Z854">
        <v>4.6422085110098124</v>
      </c>
      <c r="AA854">
        <v>3.526645768025078</v>
      </c>
      <c r="AB854">
        <v>0.48704348694311222</v>
      </c>
    </row>
    <row r="855" spans="1:28" x14ac:dyDescent="0.25">
      <c r="A855">
        <v>10</v>
      </c>
      <c r="B855">
        <v>36</v>
      </c>
      <c r="C855">
        <v>14</v>
      </c>
      <c r="D855">
        <v>594</v>
      </c>
      <c r="E855">
        <v>34</v>
      </c>
      <c r="F855">
        <v>11</v>
      </c>
      <c r="G855">
        <v>10.24771406501532</v>
      </c>
      <c r="H855" t="s">
        <v>63</v>
      </c>
      <c r="I855" t="s">
        <v>29</v>
      </c>
      <c r="J855">
        <v>0</v>
      </c>
      <c r="K855">
        <v>64</v>
      </c>
      <c r="L855" t="s">
        <v>443</v>
      </c>
      <c r="M855">
        <v>2913</v>
      </c>
      <c r="N855">
        <v>4.2440279256552458</v>
      </c>
      <c r="O855">
        <v>13.292909391224381</v>
      </c>
      <c r="P855">
        <v>4.8887655632570386</v>
      </c>
      <c r="Q855">
        <v>16.940836619585749</v>
      </c>
      <c r="R855">
        <v>4</v>
      </c>
      <c r="S855" t="s">
        <v>437</v>
      </c>
      <c r="T855">
        <v>2024</v>
      </c>
      <c r="U855" s="1">
        <v>45901.600802198707</v>
      </c>
      <c r="V855" t="s">
        <v>32</v>
      </c>
      <c r="W855" t="s">
        <v>182</v>
      </c>
      <c r="X855">
        <v>1.053193066165216</v>
      </c>
      <c r="Y855">
        <v>1.073410121536559</v>
      </c>
      <c r="Z855">
        <v>0.70709060877561569</v>
      </c>
      <c r="AA855">
        <v>1.9773429454170961</v>
      </c>
      <c r="AB855">
        <v>0.41069750951259681</v>
      </c>
    </row>
    <row r="856" spans="1:28" x14ac:dyDescent="0.25">
      <c r="A856">
        <v>4</v>
      </c>
      <c r="B856">
        <v>32</v>
      </c>
      <c r="C856">
        <v>14</v>
      </c>
      <c r="D856">
        <v>5992</v>
      </c>
      <c r="E856">
        <v>39</v>
      </c>
      <c r="F856">
        <v>14</v>
      </c>
      <c r="G856">
        <v>12.12327221222222</v>
      </c>
      <c r="H856" t="s">
        <v>397</v>
      </c>
      <c r="I856" t="s">
        <v>29</v>
      </c>
      <c r="J856">
        <v>0</v>
      </c>
      <c r="K856">
        <v>65</v>
      </c>
      <c r="L856" t="s">
        <v>436</v>
      </c>
      <c r="M856">
        <v>2316</v>
      </c>
      <c r="N856">
        <v>4.5450495723634958</v>
      </c>
      <c r="O856">
        <v>12.12327221222222</v>
      </c>
      <c r="P856">
        <v>6.4549958780407906</v>
      </c>
      <c r="Q856">
        <v>20.545659221708771</v>
      </c>
      <c r="R856">
        <v>1</v>
      </c>
      <c r="S856" t="s">
        <v>437</v>
      </c>
      <c r="T856">
        <v>2024</v>
      </c>
      <c r="U856" s="1">
        <v>45901.600802198707</v>
      </c>
      <c r="V856" t="s">
        <v>32</v>
      </c>
      <c r="W856" t="s">
        <v>182</v>
      </c>
      <c r="X856">
        <v>1.154803732435022</v>
      </c>
      <c r="Y856">
        <v>1.154803732435022</v>
      </c>
      <c r="Z856">
        <v>1.8767277877777799</v>
      </c>
      <c r="AA856">
        <v>2.525906735751295</v>
      </c>
      <c r="AB856">
        <v>0.47111161446459399</v>
      </c>
    </row>
    <row r="857" spans="1:28" x14ac:dyDescent="0.25">
      <c r="A857">
        <v>3</v>
      </c>
      <c r="B857">
        <v>31</v>
      </c>
      <c r="C857">
        <v>12</v>
      </c>
      <c r="D857">
        <v>7006</v>
      </c>
      <c r="E857">
        <v>37</v>
      </c>
      <c r="F857">
        <v>12</v>
      </c>
      <c r="G857">
        <v>14.972904972732071</v>
      </c>
      <c r="H857" t="s">
        <v>517</v>
      </c>
      <c r="I857" t="s">
        <v>32</v>
      </c>
      <c r="J857">
        <v>0</v>
      </c>
      <c r="K857">
        <v>102</v>
      </c>
      <c r="L857" t="s">
        <v>436</v>
      </c>
      <c r="M857">
        <v>2605</v>
      </c>
      <c r="N857">
        <v>5.210264602676034</v>
      </c>
      <c r="O857">
        <v>14.972904972732071</v>
      </c>
      <c r="P857">
        <v>4.4564899038523436</v>
      </c>
      <c r="Q857">
        <v>20.420169971883301</v>
      </c>
      <c r="R857">
        <v>1</v>
      </c>
      <c r="S857" t="s">
        <v>437</v>
      </c>
      <c r="T857">
        <v>2024</v>
      </c>
      <c r="U857" s="1">
        <v>45901.600802198707</v>
      </c>
      <c r="V857" t="s">
        <v>32</v>
      </c>
      <c r="W857" t="s">
        <v>182</v>
      </c>
      <c r="X857">
        <v>0.80144768312186709</v>
      </c>
      <c r="Y857">
        <v>0.80144768312186709</v>
      </c>
      <c r="Z857">
        <v>-2.9729049727320689</v>
      </c>
      <c r="AA857">
        <v>3.5239923224568139</v>
      </c>
      <c r="AB857">
        <v>0.51729806047826721</v>
      </c>
    </row>
    <row r="858" spans="1:28" x14ac:dyDescent="0.25">
      <c r="A858">
        <v>2</v>
      </c>
      <c r="B858">
        <v>32</v>
      </c>
      <c r="C858">
        <v>12</v>
      </c>
      <c r="D858">
        <v>11736</v>
      </c>
      <c r="E858">
        <v>25</v>
      </c>
      <c r="F858">
        <v>10</v>
      </c>
      <c r="G858">
        <v>12.832275385037059</v>
      </c>
      <c r="H858" t="s">
        <v>305</v>
      </c>
      <c r="I858" t="s">
        <v>29</v>
      </c>
      <c r="J858">
        <v>0</v>
      </c>
      <c r="K858">
        <v>63</v>
      </c>
      <c r="L858" t="s">
        <v>467</v>
      </c>
      <c r="M858">
        <v>2454</v>
      </c>
      <c r="N858">
        <v>2.9209116082638502</v>
      </c>
      <c r="O858">
        <v>14.35487301461399</v>
      </c>
      <c r="P858">
        <v>3.3422287693247199</v>
      </c>
      <c r="Q858">
        <v>14.93436996545643</v>
      </c>
      <c r="R858">
        <v>0</v>
      </c>
      <c r="S858" t="s">
        <v>437</v>
      </c>
      <c r="T858">
        <v>2024</v>
      </c>
      <c r="U858" s="1">
        <v>45901.600802198707</v>
      </c>
      <c r="V858" t="s">
        <v>32</v>
      </c>
      <c r="W858" t="s">
        <v>182</v>
      </c>
      <c r="X858">
        <v>0.8359530584341216</v>
      </c>
      <c r="Y858">
        <v>0.77928502155279422</v>
      </c>
      <c r="Z858">
        <v>-2.354873014613986</v>
      </c>
      <c r="AA858">
        <v>2.3105134474327631</v>
      </c>
      <c r="AB858">
        <v>0.52646233549929045</v>
      </c>
    </row>
    <row r="859" spans="1:28" x14ac:dyDescent="0.25">
      <c r="A859">
        <v>1</v>
      </c>
      <c r="B859">
        <v>33</v>
      </c>
      <c r="C859">
        <v>12</v>
      </c>
      <c r="D859">
        <v>11936</v>
      </c>
      <c r="E859">
        <v>14</v>
      </c>
      <c r="F859">
        <v>11</v>
      </c>
      <c r="G859">
        <v>8.4922010041773319</v>
      </c>
      <c r="H859" t="s">
        <v>560</v>
      </c>
      <c r="I859" t="s">
        <v>29</v>
      </c>
      <c r="J859">
        <v>0</v>
      </c>
      <c r="K859">
        <v>66</v>
      </c>
      <c r="L859" t="s">
        <v>451</v>
      </c>
      <c r="M859">
        <v>2369</v>
      </c>
      <c r="N859">
        <v>1.41540152579546</v>
      </c>
      <c r="O859">
        <v>9.2534998394548893</v>
      </c>
      <c r="P859">
        <v>1.943808779120445</v>
      </c>
      <c r="Q859">
        <v>9.2918343842029554</v>
      </c>
      <c r="R859">
        <v>10</v>
      </c>
      <c r="S859" t="s">
        <v>437</v>
      </c>
      <c r="T859">
        <v>2024</v>
      </c>
      <c r="U859" s="1">
        <v>45901.600802198707</v>
      </c>
      <c r="V859" t="s">
        <v>32</v>
      </c>
      <c r="W859" t="s">
        <v>182</v>
      </c>
      <c r="X859">
        <v>1.2968066362128889</v>
      </c>
      <c r="Y859">
        <v>1.2953061278918241</v>
      </c>
      <c r="Z859">
        <v>2.7465001605451111</v>
      </c>
      <c r="AA859">
        <v>2.5073870831574498</v>
      </c>
      <c r="AB859">
        <v>0.3515470601734656</v>
      </c>
    </row>
    <row r="860" spans="1:28" x14ac:dyDescent="0.25">
      <c r="A860">
        <v>9</v>
      </c>
      <c r="B860">
        <v>34</v>
      </c>
      <c r="C860">
        <v>11</v>
      </c>
      <c r="D860">
        <v>2662</v>
      </c>
      <c r="E860">
        <v>69</v>
      </c>
      <c r="F860">
        <v>8</v>
      </c>
      <c r="G860">
        <v>8.6309266537427902</v>
      </c>
      <c r="H860" t="s">
        <v>552</v>
      </c>
      <c r="I860" t="s">
        <v>35</v>
      </c>
      <c r="J860">
        <v>0</v>
      </c>
      <c r="K860">
        <v>57</v>
      </c>
      <c r="L860" t="s">
        <v>445</v>
      </c>
      <c r="M860">
        <v>2518</v>
      </c>
      <c r="N860">
        <v>7.2155739450827241</v>
      </c>
      <c r="O860">
        <v>11.67612191848457</v>
      </c>
      <c r="P860">
        <v>9.7948689619079232</v>
      </c>
      <c r="Q860">
        <v>21.968220897018909</v>
      </c>
      <c r="R860">
        <v>1</v>
      </c>
      <c r="S860" t="s">
        <v>437</v>
      </c>
      <c r="T860">
        <v>2024</v>
      </c>
      <c r="U860" s="1">
        <v>45901.600802198707</v>
      </c>
      <c r="V860" t="s">
        <v>32</v>
      </c>
      <c r="W860" t="s">
        <v>182</v>
      </c>
      <c r="X860">
        <v>0.94209362293363907</v>
      </c>
      <c r="Y860">
        <v>0.92689931463278163</v>
      </c>
      <c r="Z860">
        <v>-0.6761219184845686</v>
      </c>
      <c r="AA860">
        <v>2.037331215250199</v>
      </c>
      <c r="AB860">
        <v>0.41733557294027451</v>
      </c>
    </row>
    <row r="861" spans="1:28" x14ac:dyDescent="0.25">
      <c r="A861">
        <v>5</v>
      </c>
      <c r="B861">
        <v>37</v>
      </c>
      <c r="C861">
        <v>11</v>
      </c>
      <c r="D861">
        <v>12008</v>
      </c>
      <c r="E861">
        <v>30</v>
      </c>
      <c r="F861">
        <v>9</v>
      </c>
      <c r="G861">
        <v>9.9082834245637059</v>
      </c>
      <c r="H861" t="s">
        <v>561</v>
      </c>
      <c r="I861" t="s">
        <v>32</v>
      </c>
      <c r="J861">
        <v>0</v>
      </c>
      <c r="K861">
        <v>137</v>
      </c>
      <c r="L861" t="s">
        <v>519</v>
      </c>
      <c r="M861">
        <v>3096</v>
      </c>
      <c r="N861">
        <v>3.5718187177553768</v>
      </c>
      <c r="O861">
        <v>12.19217990804464</v>
      </c>
      <c r="P861">
        <v>3.1143391579389572</v>
      </c>
      <c r="Q861">
        <v>13.79211433883756</v>
      </c>
      <c r="R861">
        <v>6</v>
      </c>
      <c r="S861" t="s">
        <v>437</v>
      </c>
      <c r="T861">
        <v>2024</v>
      </c>
      <c r="U861" s="1">
        <v>45901.600802198707</v>
      </c>
      <c r="V861" t="s">
        <v>32</v>
      </c>
      <c r="W861" t="s">
        <v>182</v>
      </c>
      <c r="X861">
        <v>0.90221765779079321</v>
      </c>
      <c r="Y861">
        <v>0.90833089995064398</v>
      </c>
      <c r="Z861">
        <v>-1.192179908044636</v>
      </c>
      <c r="AA861">
        <v>3.9825581395348841</v>
      </c>
      <c r="AB861">
        <v>0.35442383453618131</v>
      </c>
    </row>
    <row r="862" spans="1:28" x14ac:dyDescent="0.25">
      <c r="A862">
        <v>1</v>
      </c>
      <c r="B862">
        <v>30</v>
      </c>
      <c r="C862">
        <v>10</v>
      </c>
      <c r="D862">
        <v>687</v>
      </c>
      <c r="E862">
        <v>22</v>
      </c>
      <c r="F862">
        <v>8</v>
      </c>
      <c r="G862">
        <v>4.8707084096968174</v>
      </c>
      <c r="H862" t="s">
        <v>562</v>
      </c>
      <c r="I862" t="s">
        <v>35</v>
      </c>
      <c r="J862">
        <v>0</v>
      </c>
      <c r="K862">
        <v>39</v>
      </c>
      <c r="L862" t="s">
        <v>459</v>
      </c>
      <c r="M862">
        <v>1057</v>
      </c>
      <c r="N862">
        <v>1.4419082198292019</v>
      </c>
      <c r="O862">
        <v>6.3933060206472874</v>
      </c>
      <c r="P862">
        <v>4.8102878127247104</v>
      </c>
      <c r="Q862">
        <v>10.30527409724891</v>
      </c>
      <c r="R862">
        <v>2</v>
      </c>
      <c r="S862" t="s">
        <v>437</v>
      </c>
      <c r="T862">
        <v>2024</v>
      </c>
      <c r="U862" s="1">
        <v>45901.600802198707</v>
      </c>
      <c r="V862" t="s">
        <v>32</v>
      </c>
      <c r="W862" t="s">
        <v>182</v>
      </c>
      <c r="X862">
        <v>1.564135983434054</v>
      </c>
      <c r="Y862">
        <v>1.6424715517917789</v>
      </c>
      <c r="Z862">
        <v>3.6066939793527131</v>
      </c>
      <c r="AA862">
        <v>3.3207190160832538</v>
      </c>
      <c r="AB862">
        <v>0.54436853534366691</v>
      </c>
    </row>
    <row r="863" spans="1:28" x14ac:dyDescent="0.25">
      <c r="A863">
        <v>1</v>
      </c>
      <c r="B863">
        <v>36</v>
      </c>
      <c r="C863">
        <v>10</v>
      </c>
      <c r="D863">
        <v>4895</v>
      </c>
      <c r="E863">
        <v>15</v>
      </c>
      <c r="F863">
        <v>10</v>
      </c>
      <c r="G863">
        <v>7.1705294996500024</v>
      </c>
      <c r="H863" t="s">
        <v>536</v>
      </c>
      <c r="I863" t="s">
        <v>29</v>
      </c>
      <c r="J863">
        <v>0</v>
      </c>
      <c r="K863">
        <v>79</v>
      </c>
      <c r="L863" t="s">
        <v>453</v>
      </c>
      <c r="M863">
        <v>2886</v>
      </c>
      <c r="N863">
        <v>1.8391901552677159</v>
      </c>
      <c r="O863">
        <v>7.9318282753229141</v>
      </c>
      <c r="P863">
        <v>4.713260012678802</v>
      </c>
      <c r="Q863">
        <v>12.3976276004687</v>
      </c>
      <c r="R863">
        <v>4</v>
      </c>
      <c r="S863" t="s">
        <v>437</v>
      </c>
      <c r="T863">
        <v>2024</v>
      </c>
      <c r="U863" s="1">
        <v>45901.600802198707</v>
      </c>
      <c r="V863" t="s">
        <v>32</v>
      </c>
      <c r="W863" t="s">
        <v>182</v>
      </c>
      <c r="X863">
        <v>1.2607433813351041</v>
      </c>
      <c r="Y863">
        <v>1.394597149413876</v>
      </c>
      <c r="Z863">
        <v>2.0681717246770859</v>
      </c>
      <c r="AA863">
        <v>2.4636174636174641</v>
      </c>
      <c r="AB863">
        <v>0.24735431212025721</v>
      </c>
    </row>
    <row r="864" spans="1:28" x14ac:dyDescent="0.25">
      <c r="A864">
        <v>4</v>
      </c>
      <c r="B864">
        <v>29</v>
      </c>
      <c r="C864">
        <v>10</v>
      </c>
      <c r="D864">
        <v>7084</v>
      </c>
      <c r="E864">
        <v>16</v>
      </c>
      <c r="F864">
        <v>6</v>
      </c>
      <c r="G864">
        <v>12.050864440388979</v>
      </c>
      <c r="H864" t="s">
        <v>525</v>
      </c>
      <c r="I864" t="s">
        <v>29</v>
      </c>
      <c r="J864">
        <v>0</v>
      </c>
      <c r="K864">
        <v>77</v>
      </c>
      <c r="L864" t="s">
        <v>441</v>
      </c>
      <c r="M864">
        <v>1793</v>
      </c>
      <c r="N864">
        <v>1.744228720664978</v>
      </c>
      <c r="O864">
        <v>15.09605949092656</v>
      </c>
      <c r="P864">
        <v>3.5828115344047542</v>
      </c>
      <c r="Q864">
        <v>16.021368254907429</v>
      </c>
      <c r="R864">
        <v>3</v>
      </c>
      <c r="S864" t="s">
        <v>437</v>
      </c>
      <c r="T864">
        <v>2024</v>
      </c>
      <c r="U864" s="1">
        <v>45901.600802198707</v>
      </c>
      <c r="V864" t="s">
        <v>32</v>
      </c>
      <c r="W864" t="s">
        <v>182</v>
      </c>
      <c r="X864">
        <v>0.6624245225060531</v>
      </c>
      <c r="Y864">
        <v>0.49788959370339841</v>
      </c>
      <c r="Z864">
        <v>-5.0960594909265637</v>
      </c>
      <c r="AA864">
        <v>3.8650306748466261</v>
      </c>
      <c r="AB864">
        <v>0.75774977924338582</v>
      </c>
    </row>
    <row r="865" spans="1:28" x14ac:dyDescent="0.25">
      <c r="A865">
        <v>1</v>
      </c>
      <c r="B865">
        <v>37</v>
      </c>
      <c r="C865">
        <v>10</v>
      </c>
      <c r="D865">
        <v>7375</v>
      </c>
      <c r="E865">
        <v>11</v>
      </c>
      <c r="F865">
        <v>9</v>
      </c>
      <c r="G865">
        <v>17.15439285477623</v>
      </c>
      <c r="H865" t="s">
        <v>563</v>
      </c>
      <c r="I865" t="s">
        <v>32</v>
      </c>
      <c r="J865">
        <v>0</v>
      </c>
      <c r="K865">
        <v>97</v>
      </c>
      <c r="L865" t="s">
        <v>480</v>
      </c>
      <c r="M865">
        <v>3180</v>
      </c>
      <c r="N865">
        <v>1.1450618766248231</v>
      </c>
      <c r="O865">
        <v>17.915691690053791</v>
      </c>
      <c r="P865">
        <v>2.0816250210627918</v>
      </c>
      <c r="Q865">
        <v>18.1155537343584</v>
      </c>
      <c r="R865">
        <v>6</v>
      </c>
      <c r="S865" t="s">
        <v>437</v>
      </c>
      <c r="T865">
        <v>2024</v>
      </c>
      <c r="U865" s="1">
        <v>45901.600802198707</v>
      </c>
      <c r="V865" t="s">
        <v>32</v>
      </c>
      <c r="W865" t="s">
        <v>182</v>
      </c>
      <c r="X865">
        <v>0.55816990898273133</v>
      </c>
      <c r="Y865">
        <v>0.52464695639135739</v>
      </c>
      <c r="Z865">
        <v>-7.9156916900537908</v>
      </c>
      <c r="AA865">
        <v>2.7452830188679251</v>
      </c>
      <c r="AB865">
        <v>0.50704787802039031</v>
      </c>
    </row>
    <row r="866" spans="1:28" x14ac:dyDescent="0.25">
      <c r="A866">
        <v>3</v>
      </c>
      <c r="B866">
        <v>29</v>
      </c>
      <c r="C866">
        <v>10</v>
      </c>
      <c r="D866">
        <v>10948</v>
      </c>
      <c r="E866">
        <v>26</v>
      </c>
      <c r="F866">
        <v>8</v>
      </c>
      <c r="G866">
        <v>13.84750095102936</v>
      </c>
      <c r="H866" t="s">
        <v>301</v>
      </c>
      <c r="I866" t="s">
        <v>29</v>
      </c>
      <c r="J866">
        <v>1</v>
      </c>
      <c r="K866">
        <v>108</v>
      </c>
      <c r="L866" t="s">
        <v>459</v>
      </c>
      <c r="M866">
        <v>2407</v>
      </c>
      <c r="N866">
        <v>3.6295130308717489</v>
      </c>
      <c r="O866">
        <v>16.131397516466681</v>
      </c>
      <c r="P866">
        <v>5.0942452661693096</v>
      </c>
      <c r="Q866">
        <v>19.23016402032226</v>
      </c>
      <c r="R866">
        <v>9</v>
      </c>
      <c r="S866" t="s">
        <v>437</v>
      </c>
      <c r="T866">
        <v>2024</v>
      </c>
      <c r="U866" s="1">
        <v>45901.600802198707</v>
      </c>
      <c r="V866" t="s">
        <v>32</v>
      </c>
      <c r="W866" t="s">
        <v>182</v>
      </c>
      <c r="X866">
        <v>0.61990909279820039</v>
      </c>
      <c r="Y866">
        <v>0.57772157072177821</v>
      </c>
      <c r="Z866">
        <v>-6.1313975164666772</v>
      </c>
      <c r="AA866">
        <v>4.0382218529289569</v>
      </c>
      <c r="AB866">
        <v>0.60316816638221893</v>
      </c>
    </row>
    <row r="867" spans="1:28" x14ac:dyDescent="0.25">
      <c r="A867">
        <v>6</v>
      </c>
      <c r="B867">
        <v>33</v>
      </c>
      <c r="C867">
        <v>27</v>
      </c>
      <c r="D867">
        <v>3277</v>
      </c>
      <c r="E867">
        <v>53</v>
      </c>
      <c r="F867">
        <v>19</v>
      </c>
      <c r="G867">
        <v>11.75709871947765</v>
      </c>
      <c r="H867" t="s">
        <v>99</v>
      </c>
      <c r="I867" t="s">
        <v>49</v>
      </c>
      <c r="J867">
        <v>0</v>
      </c>
      <c r="K867">
        <v>96</v>
      </c>
      <c r="L867" t="s">
        <v>564</v>
      </c>
      <c r="M867">
        <v>2860</v>
      </c>
      <c r="N867">
        <v>6.0635262234136462</v>
      </c>
      <c r="O867">
        <v>18.59796054661274</v>
      </c>
      <c r="P867">
        <v>6.3800092171877623</v>
      </c>
      <c r="Q867">
        <v>19.62205703929067</v>
      </c>
      <c r="R867">
        <v>6</v>
      </c>
      <c r="S867" t="s">
        <v>565</v>
      </c>
      <c r="T867">
        <v>2014</v>
      </c>
      <c r="U867" s="1">
        <v>45901.600802198707</v>
      </c>
      <c r="V867" t="s">
        <v>32</v>
      </c>
      <c r="W867" t="s">
        <v>33</v>
      </c>
      <c r="X867">
        <v>1.451772087177458</v>
      </c>
      <c r="Y867">
        <v>1.6160449489569431</v>
      </c>
      <c r="Z867">
        <v>8.4020394533872604</v>
      </c>
      <c r="AA867">
        <v>3.0209790209790208</v>
      </c>
      <c r="AB867">
        <v>0.58525050671158974</v>
      </c>
    </row>
    <row r="868" spans="1:28" x14ac:dyDescent="0.25">
      <c r="A868">
        <v>2</v>
      </c>
      <c r="B868">
        <v>38</v>
      </c>
      <c r="C868">
        <v>21</v>
      </c>
      <c r="D868">
        <v>4747</v>
      </c>
      <c r="E868">
        <v>22</v>
      </c>
      <c r="F868">
        <v>19</v>
      </c>
      <c r="G868">
        <v>14.42045120336115</v>
      </c>
      <c r="H868" t="s">
        <v>566</v>
      </c>
      <c r="I868" t="s">
        <v>35</v>
      </c>
      <c r="J868">
        <v>0</v>
      </c>
      <c r="K868">
        <v>124</v>
      </c>
      <c r="L868" t="s">
        <v>567</v>
      </c>
      <c r="M868">
        <v>3118</v>
      </c>
      <c r="N868">
        <v>2.2814857922494411</v>
      </c>
      <c r="O868">
        <v>16.700741330161691</v>
      </c>
      <c r="P868">
        <v>2.918048987165093</v>
      </c>
      <c r="Q868">
        <v>17.878303453326229</v>
      </c>
      <c r="R868">
        <v>3</v>
      </c>
      <c r="S868" t="s">
        <v>565</v>
      </c>
      <c r="T868">
        <v>2014</v>
      </c>
      <c r="U868" s="1">
        <v>45901.600802198707</v>
      </c>
      <c r="V868" t="s">
        <v>32</v>
      </c>
      <c r="W868" t="s">
        <v>33</v>
      </c>
      <c r="X868">
        <v>1.257429211365235</v>
      </c>
      <c r="Y868">
        <v>1.31757319740255</v>
      </c>
      <c r="Z868">
        <v>4.2992586698383093</v>
      </c>
      <c r="AA868">
        <v>3.5792174470814628</v>
      </c>
      <c r="AB868">
        <v>0.48206116732346133</v>
      </c>
    </row>
    <row r="869" spans="1:28" x14ac:dyDescent="0.25">
      <c r="A869">
        <v>6</v>
      </c>
      <c r="B869">
        <v>24</v>
      </c>
      <c r="C869">
        <v>19</v>
      </c>
      <c r="D869">
        <v>1741</v>
      </c>
      <c r="E869">
        <v>37</v>
      </c>
      <c r="F869">
        <v>11</v>
      </c>
      <c r="G869">
        <v>12.10487721860409</v>
      </c>
      <c r="H869" t="s">
        <v>86</v>
      </c>
      <c r="I869" t="s">
        <v>29</v>
      </c>
      <c r="J869">
        <v>0</v>
      </c>
      <c r="K869">
        <v>87</v>
      </c>
      <c r="L869" t="s">
        <v>568</v>
      </c>
      <c r="M869">
        <v>2002</v>
      </c>
      <c r="N869">
        <v>7.0774305015802383</v>
      </c>
      <c r="O869">
        <v>18.945742398500439</v>
      </c>
      <c r="P869">
        <v>7.169924933463335</v>
      </c>
      <c r="Q869">
        <v>21.29429799318314</v>
      </c>
      <c r="R869">
        <v>3</v>
      </c>
      <c r="S869" t="s">
        <v>565</v>
      </c>
      <c r="T869">
        <v>2014</v>
      </c>
      <c r="U869" s="1">
        <v>45901.600802198707</v>
      </c>
      <c r="V869" t="s">
        <v>32</v>
      </c>
      <c r="W869" t="s">
        <v>33</v>
      </c>
      <c r="X869">
        <v>1.002863841403431</v>
      </c>
      <c r="Y869">
        <v>0.90872462407912802</v>
      </c>
      <c r="Z869">
        <v>5.4257601499557502E-2</v>
      </c>
      <c r="AA869">
        <v>3.9110889110889109</v>
      </c>
      <c r="AB869">
        <v>0.85170670123128867</v>
      </c>
    </row>
    <row r="870" spans="1:28" x14ac:dyDescent="0.25">
      <c r="A870">
        <v>1</v>
      </c>
      <c r="B870">
        <v>35</v>
      </c>
      <c r="C870">
        <v>18</v>
      </c>
      <c r="D870">
        <v>3294</v>
      </c>
      <c r="E870">
        <v>14</v>
      </c>
      <c r="F870">
        <v>15</v>
      </c>
      <c r="G870">
        <v>20.58003210648894</v>
      </c>
      <c r="H870" t="s">
        <v>135</v>
      </c>
      <c r="I870" t="s">
        <v>29</v>
      </c>
      <c r="J870">
        <v>1</v>
      </c>
      <c r="K870">
        <v>111</v>
      </c>
      <c r="L870" t="s">
        <v>568</v>
      </c>
      <c r="M870">
        <v>2666</v>
      </c>
      <c r="N870">
        <v>1.7430237997323279</v>
      </c>
      <c r="O870">
        <v>22.860323067754511</v>
      </c>
      <c r="P870">
        <v>5.9133612662553787</v>
      </c>
      <c r="Q870">
        <v>25.087470583617691</v>
      </c>
      <c r="R870">
        <v>2</v>
      </c>
      <c r="S870" t="s">
        <v>565</v>
      </c>
      <c r="T870">
        <v>2014</v>
      </c>
      <c r="U870" s="1">
        <v>45901.600802198707</v>
      </c>
      <c r="V870" t="s">
        <v>32</v>
      </c>
      <c r="W870" t="s">
        <v>33</v>
      </c>
      <c r="X870">
        <v>0.78739044704883432</v>
      </c>
      <c r="Y870">
        <v>0.72886183667665205</v>
      </c>
      <c r="Z870">
        <v>-4.8603230677545071</v>
      </c>
      <c r="AA870">
        <v>3.7471867966991752</v>
      </c>
      <c r="AB870">
        <v>0.77172883574565099</v>
      </c>
    </row>
    <row r="871" spans="1:28" x14ac:dyDescent="0.25">
      <c r="A871">
        <v>3</v>
      </c>
      <c r="B871">
        <v>31</v>
      </c>
      <c r="C871">
        <v>17</v>
      </c>
      <c r="D871">
        <v>464</v>
      </c>
      <c r="E871">
        <v>46</v>
      </c>
      <c r="F871">
        <v>13</v>
      </c>
      <c r="G871">
        <v>10.610884753055871</v>
      </c>
      <c r="H871" t="s">
        <v>569</v>
      </c>
      <c r="I871" t="s">
        <v>35</v>
      </c>
      <c r="J871">
        <v>0</v>
      </c>
      <c r="K871">
        <v>102</v>
      </c>
      <c r="L871" t="s">
        <v>570</v>
      </c>
      <c r="M871">
        <v>2186</v>
      </c>
      <c r="N871">
        <v>5.4817510470747948</v>
      </c>
      <c r="O871">
        <v>14.411359057761731</v>
      </c>
      <c r="P871">
        <v>2.2795162796974182</v>
      </c>
      <c r="Q871">
        <v>14.291719306260349</v>
      </c>
      <c r="R871">
        <v>6</v>
      </c>
      <c r="S871" t="s">
        <v>565</v>
      </c>
      <c r="T871">
        <v>2014</v>
      </c>
      <c r="U871" s="1">
        <v>45901.600802198707</v>
      </c>
      <c r="V871" t="s">
        <v>32</v>
      </c>
      <c r="W871" t="s">
        <v>33</v>
      </c>
      <c r="X871">
        <v>1.1796250396553729</v>
      </c>
      <c r="Y871">
        <v>1.2251570253136601</v>
      </c>
      <c r="Z871">
        <v>2.5886409422382708</v>
      </c>
      <c r="AA871">
        <v>4.1994510521500459</v>
      </c>
      <c r="AB871">
        <v>0.59333134272578025</v>
      </c>
    </row>
    <row r="872" spans="1:28" x14ac:dyDescent="0.25">
      <c r="A872">
        <v>3</v>
      </c>
      <c r="B872">
        <v>36</v>
      </c>
      <c r="C872">
        <v>17</v>
      </c>
      <c r="D872">
        <v>2502</v>
      </c>
      <c r="E872">
        <v>30</v>
      </c>
      <c r="F872">
        <v>11</v>
      </c>
      <c r="G872">
        <v>7.6121186260133982</v>
      </c>
      <c r="H872" t="s">
        <v>571</v>
      </c>
      <c r="I872" t="s">
        <v>35</v>
      </c>
      <c r="J872">
        <v>0</v>
      </c>
      <c r="K872">
        <v>83</v>
      </c>
      <c r="L872" t="s">
        <v>572</v>
      </c>
      <c r="M872">
        <v>2996</v>
      </c>
      <c r="N872">
        <v>3.9643071992322798</v>
      </c>
      <c r="O872">
        <v>12.172689450904731</v>
      </c>
      <c r="P872">
        <v>2.3651803322136402</v>
      </c>
      <c r="Q872">
        <v>11.970875558443369</v>
      </c>
      <c r="R872">
        <v>1</v>
      </c>
      <c r="S872" t="s">
        <v>565</v>
      </c>
      <c r="T872">
        <v>2014</v>
      </c>
      <c r="U872" s="1">
        <v>45901.600802198707</v>
      </c>
      <c r="V872" t="s">
        <v>32</v>
      </c>
      <c r="W872" t="s">
        <v>33</v>
      </c>
      <c r="X872">
        <v>1.3965689397207519</v>
      </c>
      <c r="Y872">
        <v>1.4450641852071211</v>
      </c>
      <c r="Z872">
        <v>4.8273105490952712</v>
      </c>
      <c r="AA872">
        <v>2.4933244325767689</v>
      </c>
      <c r="AB872">
        <v>0.36566824118205132</v>
      </c>
    </row>
    <row r="873" spans="1:28" x14ac:dyDescent="0.25">
      <c r="A873">
        <v>3</v>
      </c>
      <c r="B873">
        <v>36</v>
      </c>
      <c r="C873">
        <v>15</v>
      </c>
      <c r="D873">
        <v>3261</v>
      </c>
      <c r="E873">
        <v>32</v>
      </c>
      <c r="F873">
        <v>12</v>
      </c>
      <c r="G873">
        <v>10.2767568603158</v>
      </c>
      <c r="H873" t="s">
        <v>573</v>
      </c>
      <c r="I873" t="s">
        <v>35</v>
      </c>
      <c r="J873">
        <v>0</v>
      </c>
      <c r="K873">
        <v>74</v>
      </c>
      <c r="L873" t="s">
        <v>574</v>
      </c>
      <c r="M873">
        <v>2493</v>
      </c>
      <c r="N873">
        <v>3.5689091552048922</v>
      </c>
      <c r="O873">
        <v>12.55704130977392</v>
      </c>
      <c r="P873">
        <v>3.781224873848259</v>
      </c>
      <c r="Q873">
        <v>14.77415017783642</v>
      </c>
      <c r="R873">
        <v>2</v>
      </c>
      <c r="S873" t="s">
        <v>565</v>
      </c>
      <c r="T873">
        <v>2014</v>
      </c>
      <c r="U873" s="1">
        <v>45901.600802198707</v>
      </c>
      <c r="V873" t="s">
        <v>32</v>
      </c>
      <c r="W873" t="s">
        <v>33</v>
      </c>
      <c r="X873">
        <v>1.1945489092501891</v>
      </c>
      <c r="Y873">
        <v>1.1676835565059041</v>
      </c>
      <c r="Z873">
        <v>2.442958690226078</v>
      </c>
      <c r="AA873">
        <v>2.6714801444043319</v>
      </c>
      <c r="AB873">
        <v>0.45332279096656758</v>
      </c>
    </row>
    <row r="874" spans="1:28" x14ac:dyDescent="0.25">
      <c r="A874">
        <v>3</v>
      </c>
      <c r="B874">
        <v>36</v>
      </c>
      <c r="C874">
        <v>14</v>
      </c>
      <c r="D874">
        <v>3210</v>
      </c>
      <c r="E874">
        <v>55</v>
      </c>
      <c r="F874">
        <v>12</v>
      </c>
      <c r="G874">
        <v>9.3170321807265282</v>
      </c>
      <c r="H874" t="s">
        <v>254</v>
      </c>
      <c r="I874" t="s">
        <v>35</v>
      </c>
      <c r="J874">
        <v>0</v>
      </c>
      <c r="K874">
        <v>82</v>
      </c>
      <c r="L874" t="s">
        <v>575</v>
      </c>
      <c r="M874">
        <v>2890</v>
      </c>
      <c r="N874">
        <v>5.4084757119417191</v>
      </c>
      <c r="O874">
        <v>11.597321249544621</v>
      </c>
      <c r="P874">
        <v>4.5222668061032891</v>
      </c>
      <c r="Q874">
        <v>15.236948242411019</v>
      </c>
      <c r="R874">
        <v>1</v>
      </c>
      <c r="S874" t="s">
        <v>565</v>
      </c>
      <c r="T874">
        <v>2014</v>
      </c>
      <c r="U874" s="1">
        <v>45901.600802198707</v>
      </c>
      <c r="V874" t="s">
        <v>32</v>
      </c>
      <c r="W874" t="s">
        <v>33</v>
      </c>
      <c r="X874">
        <v>1.2071753208138241</v>
      </c>
      <c r="Y874">
        <v>1.2879637815165581</v>
      </c>
      <c r="Z874">
        <v>2.402678750455379</v>
      </c>
      <c r="AA874">
        <v>2.5536332179930801</v>
      </c>
      <c r="AB874">
        <v>0.36116225344602632</v>
      </c>
    </row>
    <row r="875" spans="1:28" x14ac:dyDescent="0.25">
      <c r="A875">
        <v>9</v>
      </c>
      <c r="B875">
        <v>34</v>
      </c>
      <c r="C875">
        <v>13</v>
      </c>
      <c r="D875">
        <v>3667</v>
      </c>
      <c r="E875">
        <v>48</v>
      </c>
      <c r="F875">
        <v>13</v>
      </c>
      <c r="G875">
        <v>9.8737280629575235</v>
      </c>
      <c r="H875" t="s">
        <v>576</v>
      </c>
      <c r="I875" t="s">
        <v>49</v>
      </c>
      <c r="J875">
        <v>0</v>
      </c>
      <c r="K875">
        <v>88</v>
      </c>
      <c r="L875" t="s">
        <v>564</v>
      </c>
      <c r="M875">
        <v>2796</v>
      </c>
      <c r="N875">
        <v>6.0424947869032621</v>
      </c>
      <c r="O875">
        <v>10.633824076503521</v>
      </c>
      <c r="P875">
        <v>3.109592747874558</v>
      </c>
      <c r="Q875">
        <v>14.7808650797233</v>
      </c>
      <c r="R875">
        <v>7</v>
      </c>
      <c r="S875" t="s">
        <v>565</v>
      </c>
      <c r="T875">
        <v>2014</v>
      </c>
      <c r="U875" s="1">
        <v>45901.600802198707</v>
      </c>
      <c r="V875" t="s">
        <v>32</v>
      </c>
      <c r="W875" t="s">
        <v>33</v>
      </c>
      <c r="X875">
        <v>1.222514112183291</v>
      </c>
      <c r="Y875">
        <v>1.316625282477756</v>
      </c>
      <c r="Z875">
        <v>2.3661759234964852</v>
      </c>
      <c r="AA875">
        <v>2.8326180257510729</v>
      </c>
      <c r="AB875">
        <v>0.34229047456556377</v>
      </c>
    </row>
    <row r="876" spans="1:28" x14ac:dyDescent="0.25">
      <c r="A876">
        <v>5</v>
      </c>
      <c r="B876">
        <v>31</v>
      </c>
      <c r="C876">
        <v>12</v>
      </c>
      <c r="D876">
        <v>672</v>
      </c>
      <c r="E876">
        <v>35</v>
      </c>
      <c r="F876">
        <v>9</v>
      </c>
      <c r="G876">
        <v>9.5912027005106193</v>
      </c>
      <c r="H876" t="s">
        <v>577</v>
      </c>
      <c r="I876" t="s">
        <v>29</v>
      </c>
      <c r="J876">
        <v>0</v>
      </c>
      <c r="K876">
        <v>112</v>
      </c>
      <c r="L876" t="s">
        <v>578</v>
      </c>
      <c r="M876">
        <v>2616</v>
      </c>
      <c r="N876">
        <v>3.255954572930932</v>
      </c>
      <c r="O876">
        <v>11.87148915417492</v>
      </c>
      <c r="P876">
        <v>3.3441759711131458</v>
      </c>
      <c r="Q876">
        <v>12.664956465363501</v>
      </c>
      <c r="R876">
        <v>8</v>
      </c>
      <c r="S876" t="s">
        <v>565</v>
      </c>
      <c r="T876">
        <v>2014</v>
      </c>
      <c r="U876" s="1">
        <v>45901.600802198707</v>
      </c>
      <c r="V876" t="s">
        <v>32</v>
      </c>
      <c r="W876" t="s">
        <v>33</v>
      </c>
      <c r="X876">
        <v>1.0108251664265631</v>
      </c>
      <c r="Y876">
        <v>0.93835989927737173</v>
      </c>
      <c r="Z876">
        <v>0.1285108458250761</v>
      </c>
      <c r="AA876">
        <v>3.8532110091743119</v>
      </c>
      <c r="AB876">
        <v>0.40842279200143089</v>
      </c>
    </row>
    <row r="877" spans="1:28" x14ac:dyDescent="0.25">
      <c r="A877">
        <v>3</v>
      </c>
      <c r="B877">
        <v>31</v>
      </c>
      <c r="C877">
        <v>11</v>
      </c>
      <c r="D877">
        <v>4694</v>
      </c>
      <c r="E877">
        <v>23</v>
      </c>
      <c r="F877">
        <v>9</v>
      </c>
      <c r="G877">
        <v>6.4932245588861406</v>
      </c>
      <c r="H877" t="s">
        <v>579</v>
      </c>
      <c r="I877" t="s">
        <v>29</v>
      </c>
      <c r="J877">
        <v>0</v>
      </c>
      <c r="K877">
        <v>46</v>
      </c>
      <c r="L877" t="s">
        <v>580</v>
      </c>
      <c r="M877">
        <v>2313</v>
      </c>
      <c r="N877">
        <v>3.238125048577785</v>
      </c>
      <c r="O877">
        <v>9.5335945985279977</v>
      </c>
      <c r="P877">
        <v>3.3974891416728501</v>
      </c>
      <c r="Q877">
        <v>12.3495508376509</v>
      </c>
      <c r="R877">
        <v>0</v>
      </c>
      <c r="S877" t="s">
        <v>565</v>
      </c>
      <c r="T877">
        <v>2014</v>
      </c>
      <c r="U877" s="1">
        <v>45901.600802198707</v>
      </c>
      <c r="V877" t="s">
        <v>32</v>
      </c>
      <c r="W877" t="s">
        <v>33</v>
      </c>
      <c r="X877">
        <v>1.153814533051198</v>
      </c>
      <c r="Y877">
        <v>1.3860601798659919</v>
      </c>
      <c r="Z877">
        <v>1.466405401472002</v>
      </c>
      <c r="AA877">
        <v>1.7898832684824899</v>
      </c>
      <c r="AB877">
        <v>0.37095698826957191</v>
      </c>
    </row>
    <row r="878" spans="1:28" x14ac:dyDescent="0.25">
      <c r="A878">
        <v>2</v>
      </c>
      <c r="B878">
        <v>31</v>
      </c>
      <c r="C878">
        <v>11</v>
      </c>
      <c r="D878">
        <v>4708</v>
      </c>
      <c r="E878">
        <v>16</v>
      </c>
      <c r="F878">
        <v>10</v>
      </c>
      <c r="G878">
        <v>8.3100000582635403</v>
      </c>
      <c r="H878" t="s">
        <v>581</v>
      </c>
      <c r="I878" t="s">
        <v>29</v>
      </c>
      <c r="J878">
        <v>0</v>
      </c>
      <c r="K878">
        <v>53</v>
      </c>
      <c r="L878" t="s">
        <v>572</v>
      </c>
      <c r="M878">
        <v>2080</v>
      </c>
      <c r="N878">
        <v>1.784810319542885</v>
      </c>
      <c r="O878">
        <v>9.0700950585305673</v>
      </c>
      <c r="P878">
        <v>1.2131423000246291</v>
      </c>
      <c r="Q878">
        <v>10.56627656891942</v>
      </c>
      <c r="R878">
        <v>2</v>
      </c>
      <c r="S878" t="s">
        <v>565</v>
      </c>
      <c r="T878">
        <v>2014</v>
      </c>
      <c r="U878" s="1">
        <v>45901.600802198707</v>
      </c>
      <c r="V878" t="s">
        <v>32</v>
      </c>
      <c r="W878" t="s">
        <v>33</v>
      </c>
      <c r="X878">
        <v>1.212776705096859</v>
      </c>
      <c r="Y878">
        <v>1.203369425979234</v>
      </c>
      <c r="Z878">
        <v>1.9299049414694329</v>
      </c>
      <c r="AA878">
        <v>2.2932692307692308</v>
      </c>
      <c r="AB878">
        <v>0.39245603618641878</v>
      </c>
    </row>
    <row r="879" spans="1:28" x14ac:dyDescent="0.25">
      <c r="A879">
        <v>4</v>
      </c>
      <c r="B879">
        <v>30</v>
      </c>
      <c r="C879">
        <v>10</v>
      </c>
      <c r="D879">
        <v>4753</v>
      </c>
      <c r="E879">
        <v>25</v>
      </c>
      <c r="F879">
        <v>10</v>
      </c>
      <c r="G879">
        <v>10.04031288996339</v>
      </c>
      <c r="H879" t="s">
        <v>582</v>
      </c>
      <c r="I879" t="s">
        <v>35</v>
      </c>
      <c r="J879">
        <v>1</v>
      </c>
      <c r="K879">
        <v>77</v>
      </c>
      <c r="L879" t="s">
        <v>583</v>
      </c>
      <c r="M879">
        <v>2349</v>
      </c>
      <c r="N879">
        <v>3.9969219528138642</v>
      </c>
      <c r="O879">
        <v>10.04031288996339</v>
      </c>
      <c r="P879">
        <v>2.6581901796162128</v>
      </c>
      <c r="Q879">
        <v>12.162749874405559</v>
      </c>
      <c r="R879">
        <v>2</v>
      </c>
      <c r="S879" t="s">
        <v>565</v>
      </c>
      <c r="T879">
        <v>2014</v>
      </c>
      <c r="U879" s="1">
        <v>45901.600802198707</v>
      </c>
      <c r="V879" t="s">
        <v>32</v>
      </c>
      <c r="W879" t="s">
        <v>33</v>
      </c>
      <c r="X879">
        <v>0.99598489704402671</v>
      </c>
      <c r="Y879">
        <v>0.99598489704402671</v>
      </c>
      <c r="Z879">
        <v>-4.0312889963388443E-2</v>
      </c>
      <c r="AA879">
        <v>2.9501915708812261</v>
      </c>
      <c r="AB879">
        <v>0.38468631762311828</v>
      </c>
    </row>
    <row r="880" spans="1:28" x14ac:dyDescent="0.25">
      <c r="A880">
        <v>0</v>
      </c>
      <c r="B880">
        <v>30</v>
      </c>
      <c r="C880">
        <v>10</v>
      </c>
      <c r="D880">
        <v>4787</v>
      </c>
      <c r="E880">
        <v>14</v>
      </c>
      <c r="F880">
        <v>8</v>
      </c>
      <c r="G880">
        <v>9.2322010118514299</v>
      </c>
      <c r="H880" t="s">
        <v>584</v>
      </c>
      <c r="I880" t="s">
        <v>35</v>
      </c>
      <c r="J880">
        <v>0</v>
      </c>
      <c r="K880">
        <v>73</v>
      </c>
      <c r="L880" t="s">
        <v>585</v>
      </c>
      <c r="M880">
        <v>2232</v>
      </c>
      <c r="N880">
        <v>0.62182249501347542</v>
      </c>
      <c r="O880">
        <v>10.75232299230993</v>
      </c>
      <c r="P880">
        <v>0.74341638665646315</v>
      </c>
      <c r="Q880">
        <v>9.3785059899091721</v>
      </c>
      <c r="R880">
        <v>1</v>
      </c>
      <c r="S880" t="s">
        <v>565</v>
      </c>
      <c r="T880">
        <v>2014</v>
      </c>
      <c r="U880" s="1">
        <v>45901.600802198707</v>
      </c>
      <c r="V880" t="s">
        <v>32</v>
      </c>
      <c r="W880" t="s">
        <v>33</v>
      </c>
      <c r="X880">
        <v>0.93003158546781095</v>
      </c>
      <c r="Y880">
        <v>0.86653225917962073</v>
      </c>
      <c r="Z880">
        <v>-0.75232299230992794</v>
      </c>
      <c r="AA880">
        <v>2.943548387096774</v>
      </c>
      <c r="AB880">
        <v>0.43356141098023898</v>
      </c>
    </row>
    <row r="881" spans="1:28" x14ac:dyDescent="0.25">
      <c r="A881">
        <v>13</v>
      </c>
      <c r="B881">
        <v>31</v>
      </c>
      <c r="C881">
        <v>38</v>
      </c>
      <c r="D881">
        <v>1741</v>
      </c>
      <c r="E881">
        <v>46</v>
      </c>
      <c r="F881">
        <v>33</v>
      </c>
      <c r="G881">
        <v>23.805723838508129</v>
      </c>
      <c r="H881" t="s">
        <v>86</v>
      </c>
      <c r="I881" t="s">
        <v>29</v>
      </c>
      <c r="J881">
        <v>0</v>
      </c>
      <c r="K881">
        <v>155</v>
      </c>
      <c r="L881" t="s">
        <v>568</v>
      </c>
      <c r="M881">
        <v>2553</v>
      </c>
      <c r="N881">
        <v>9.0982482153922319</v>
      </c>
      <c r="O881">
        <v>28.366293840110309</v>
      </c>
      <c r="P881">
        <v>11.613952815532681</v>
      </c>
      <c r="Q881">
        <v>36.009237848222263</v>
      </c>
      <c r="R881">
        <v>1</v>
      </c>
      <c r="S881" t="s">
        <v>565</v>
      </c>
      <c r="T881">
        <v>2015</v>
      </c>
      <c r="U881" s="1">
        <v>45901.600802198707</v>
      </c>
      <c r="V881" t="s">
        <v>32</v>
      </c>
      <c r="W881" t="s">
        <v>69</v>
      </c>
      <c r="X881">
        <v>1.339618076798863</v>
      </c>
      <c r="Y881">
        <v>1.386221239222275</v>
      </c>
      <c r="Z881">
        <v>9.6337061598896945</v>
      </c>
      <c r="AA881">
        <v>5.4641598119858994</v>
      </c>
      <c r="AB881">
        <v>0.99998685687815414</v>
      </c>
    </row>
    <row r="882" spans="1:28" x14ac:dyDescent="0.25">
      <c r="A882">
        <v>3</v>
      </c>
      <c r="B882">
        <v>34</v>
      </c>
      <c r="C882">
        <v>21</v>
      </c>
      <c r="D882">
        <v>3277</v>
      </c>
      <c r="E882">
        <v>44</v>
      </c>
      <c r="F882">
        <v>19</v>
      </c>
      <c r="G882">
        <v>18.754890482872721</v>
      </c>
      <c r="H882" t="s">
        <v>99</v>
      </c>
      <c r="I882" t="s">
        <v>32</v>
      </c>
      <c r="J882">
        <v>0</v>
      </c>
      <c r="K882">
        <v>95</v>
      </c>
      <c r="L882" t="s">
        <v>564</v>
      </c>
      <c r="M882">
        <v>2969</v>
      </c>
      <c r="N882">
        <v>4.3879989935085177</v>
      </c>
      <c r="O882">
        <v>21.03517147526145</v>
      </c>
      <c r="P882">
        <v>8.5287354104220867</v>
      </c>
      <c r="Q882">
        <v>25.341843897476789</v>
      </c>
      <c r="R882">
        <v>5</v>
      </c>
      <c r="S882" t="s">
        <v>565</v>
      </c>
      <c r="T882">
        <v>2015</v>
      </c>
      <c r="U882" s="1">
        <v>45901.600802198707</v>
      </c>
      <c r="V882" t="s">
        <v>32</v>
      </c>
      <c r="W882" t="s">
        <v>69</v>
      </c>
      <c r="X882">
        <v>0.9983279682172872</v>
      </c>
      <c r="Y882">
        <v>1.013069098822577</v>
      </c>
      <c r="Z882">
        <v>-3.5171475261449807E-2</v>
      </c>
      <c r="AA882">
        <v>2.87975749410576</v>
      </c>
      <c r="AB882">
        <v>0.63764413363877748</v>
      </c>
    </row>
    <row r="883" spans="1:28" x14ac:dyDescent="0.25">
      <c r="A883">
        <v>5</v>
      </c>
      <c r="B883">
        <v>32</v>
      </c>
      <c r="C883">
        <v>19</v>
      </c>
      <c r="D883">
        <v>3294</v>
      </c>
      <c r="E883">
        <v>24</v>
      </c>
      <c r="F883">
        <v>19</v>
      </c>
      <c r="G883">
        <v>18.616505909711119</v>
      </c>
      <c r="H883" t="s">
        <v>135</v>
      </c>
      <c r="I883" t="s">
        <v>29</v>
      </c>
      <c r="J883">
        <v>0</v>
      </c>
      <c r="K883">
        <v>86</v>
      </c>
      <c r="L883" t="s">
        <v>568</v>
      </c>
      <c r="M883">
        <v>2302</v>
      </c>
      <c r="N883">
        <v>3.1276850495487452</v>
      </c>
      <c r="O883">
        <v>19.37659602239728</v>
      </c>
      <c r="P883">
        <v>8.2463179379701614</v>
      </c>
      <c r="Q883">
        <v>25.40061841905117</v>
      </c>
      <c r="R883">
        <v>3</v>
      </c>
      <c r="S883" t="s">
        <v>565</v>
      </c>
      <c r="T883">
        <v>2015</v>
      </c>
      <c r="U883" s="1">
        <v>45901.600802198707</v>
      </c>
      <c r="V883" t="s">
        <v>32</v>
      </c>
      <c r="W883" t="s">
        <v>69</v>
      </c>
      <c r="X883">
        <v>0.98056438695620352</v>
      </c>
      <c r="Y883">
        <v>1.0205996813875171</v>
      </c>
      <c r="Z883">
        <v>-0.37659602239727968</v>
      </c>
      <c r="AA883">
        <v>3.3622936576889662</v>
      </c>
      <c r="AB883">
        <v>0.7575558827175306</v>
      </c>
    </row>
    <row r="884" spans="1:28" x14ac:dyDescent="0.25">
      <c r="A884">
        <v>9</v>
      </c>
      <c r="B884">
        <v>36</v>
      </c>
      <c r="C884">
        <v>17</v>
      </c>
      <c r="D884">
        <v>1678</v>
      </c>
      <c r="E884">
        <v>27</v>
      </c>
      <c r="F884">
        <v>15</v>
      </c>
      <c r="G884">
        <v>17.055523561313748</v>
      </c>
      <c r="H884" t="s">
        <v>586</v>
      </c>
      <c r="I884" t="s">
        <v>29</v>
      </c>
      <c r="J884">
        <v>0</v>
      </c>
      <c r="K884">
        <v>122</v>
      </c>
      <c r="L884" t="s">
        <v>567</v>
      </c>
      <c r="M884">
        <v>2941</v>
      </c>
      <c r="N884">
        <v>3.359592499211431</v>
      </c>
      <c r="O884">
        <v>18.575713546946641</v>
      </c>
      <c r="P884">
        <v>4.3698122277855873</v>
      </c>
      <c r="Q884">
        <v>21.578563891351219</v>
      </c>
      <c r="R884">
        <v>8</v>
      </c>
      <c r="S884" t="s">
        <v>565</v>
      </c>
      <c r="T884">
        <v>2015</v>
      </c>
      <c r="U884" s="1">
        <v>45901.600802198707</v>
      </c>
      <c r="V884" t="s">
        <v>32</v>
      </c>
      <c r="W884" t="s">
        <v>69</v>
      </c>
      <c r="X884">
        <v>0.91517345791512539</v>
      </c>
      <c r="Y884">
        <v>0.87948047716481736</v>
      </c>
      <c r="Z884">
        <v>-1.575713546946645</v>
      </c>
      <c r="AA884">
        <v>3.7334240054403272</v>
      </c>
      <c r="AB884">
        <v>0.56845094159306297</v>
      </c>
    </row>
    <row r="885" spans="1:28" x14ac:dyDescent="0.25">
      <c r="A885">
        <v>5</v>
      </c>
      <c r="B885">
        <v>35</v>
      </c>
      <c r="C885">
        <v>17</v>
      </c>
      <c r="D885">
        <v>3210</v>
      </c>
      <c r="E885">
        <v>31</v>
      </c>
      <c r="F885">
        <v>15</v>
      </c>
      <c r="G885">
        <v>13.36544908210635</v>
      </c>
      <c r="H885" t="s">
        <v>254</v>
      </c>
      <c r="I885" t="s">
        <v>35</v>
      </c>
      <c r="J885">
        <v>0</v>
      </c>
      <c r="K885">
        <v>93</v>
      </c>
      <c r="L885" t="s">
        <v>575</v>
      </c>
      <c r="M885">
        <v>2907</v>
      </c>
      <c r="N885">
        <v>3.832807926461101</v>
      </c>
      <c r="O885">
        <v>17.165925454348329</v>
      </c>
      <c r="P885">
        <v>3.2048586960881948</v>
      </c>
      <c r="Q885">
        <v>17.153543038293719</v>
      </c>
      <c r="R885">
        <v>2</v>
      </c>
      <c r="S885" t="s">
        <v>565</v>
      </c>
      <c r="T885">
        <v>2015</v>
      </c>
      <c r="U885" s="1">
        <v>45901.600802198707</v>
      </c>
      <c r="V885" t="s">
        <v>32</v>
      </c>
      <c r="W885" t="s">
        <v>69</v>
      </c>
      <c r="X885">
        <v>0.99033402220057443</v>
      </c>
      <c r="Y885">
        <v>1.1222967449767161</v>
      </c>
      <c r="Z885">
        <v>-0.1659254543483257</v>
      </c>
      <c r="AA885">
        <v>2.8792569659442719</v>
      </c>
      <c r="AB885">
        <v>0.53145280044422061</v>
      </c>
    </row>
    <row r="886" spans="1:28" x14ac:dyDescent="0.25">
      <c r="A886">
        <v>6</v>
      </c>
      <c r="B886">
        <v>34</v>
      </c>
      <c r="C886">
        <v>17</v>
      </c>
      <c r="D886">
        <v>3638</v>
      </c>
      <c r="E886">
        <v>33</v>
      </c>
      <c r="F886">
        <v>12</v>
      </c>
      <c r="G886">
        <v>7.0224867425858966</v>
      </c>
      <c r="H886" t="s">
        <v>587</v>
      </c>
      <c r="I886" t="s">
        <v>35</v>
      </c>
      <c r="J886">
        <v>0</v>
      </c>
      <c r="K886">
        <v>92</v>
      </c>
      <c r="L886" t="s">
        <v>583</v>
      </c>
      <c r="M886">
        <v>2855</v>
      </c>
      <c r="N886">
        <v>4.8242994947358966</v>
      </c>
      <c r="O886">
        <v>10.822954665869471</v>
      </c>
      <c r="P886">
        <v>7.1167231984436512</v>
      </c>
      <c r="Q886">
        <v>15.12489960715175</v>
      </c>
      <c r="R886">
        <v>2</v>
      </c>
      <c r="S886" t="s">
        <v>565</v>
      </c>
      <c r="T886">
        <v>2015</v>
      </c>
      <c r="U886" s="1">
        <v>45901.600802198707</v>
      </c>
      <c r="V886" t="s">
        <v>32</v>
      </c>
      <c r="W886" t="s">
        <v>69</v>
      </c>
      <c r="X886">
        <v>1.5707355823645861</v>
      </c>
      <c r="Y886">
        <v>1.7087963907755599</v>
      </c>
      <c r="Z886">
        <v>6.1770453341305256</v>
      </c>
      <c r="AA886">
        <v>2.9001751313485111</v>
      </c>
      <c r="AB886">
        <v>0.34117895619203248</v>
      </c>
    </row>
    <row r="887" spans="1:28" x14ac:dyDescent="0.25">
      <c r="A887">
        <v>6</v>
      </c>
      <c r="B887">
        <v>38</v>
      </c>
      <c r="C887">
        <v>14</v>
      </c>
      <c r="D887">
        <v>3309</v>
      </c>
      <c r="E887">
        <v>45</v>
      </c>
      <c r="F887">
        <v>14</v>
      </c>
      <c r="G887">
        <v>11.036330532282591</v>
      </c>
      <c r="H887" t="s">
        <v>588</v>
      </c>
      <c r="I887" t="s">
        <v>35</v>
      </c>
      <c r="J887">
        <v>0</v>
      </c>
      <c r="K887">
        <v>62</v>
      </c>
      <c r="L887" t="s">
        <v>583</v>
      </c>
      <c r="M887">
        <v>3139</v>
      </c>
      <c r="N887">
        <v>4.2858758056536317</v>
      </c>
      <c r="O887">
        <v>11.036330532282591</v>
      </c>
      <c r="P887">
        <v>6.4131738115102053</v>
      </c>
      <c r="Q887">
        <v>18.63727980107069</v>
      </c>
      <c r="R887">
        <v>3</v>
      </c>
      <c r="S887" t="s">
        <v>565</v>
      </c>
      <c r="T887">
        <v>2015</v>
      </c>
      <c r="U887" s="1">
        <v>45901.600802198707</v>
      </c>
      <c r="V887" t="s">
        <v>32</v>
      </c>
      <c r="W887" t="s">
        <v>69</v>
      </c>
      <c r="X887">
        <v>1.26853757768928</v>
      </c>
      <c r="Y887">
        <v>1.26853757768928</v>
      </c>
      <c r="Z887">
        <v>2.9636694677174091</v>
      </c>
      <c r="AA887">
        <v>1.7776361898693851</v>
      </c>
      <c r="AB887">
        <v>0.31642871867009659</v>
      </c>
    </row>
    <row r="888" spans="1:28" x14ac:dyDescent="0.25">
      <c r="A888">
        <v>1</v>
      </c>
      <c r="B888">
        <v>31</v>
      </c>
      <c r="C888">
        <v>13</v>
      </c>
      <c r="D888">
        <v>3570</v>
      </c>
      <c r="E888">
        <v>20</v>
      </c>
      <c r="F888">
        <v>8</v>
      </c>
      <c r="G888">
        <v>7.3712452640756956</v>
      </c>
      <c r="H888" t="s">
        <v>589</v>
      </c>
      <c r="I888" t="s">
        <v>35</v>
      </c>
      <c r="J888">
        <v>0</v>
      </c>
      <c r="K888">
        <v>57</v>
      </c>
      <c r="L888" t="s">
        <v>578</v>
      </c>
      <c r="M888">
        <v>2235</v>
      </c>
      <c r="N888">
        <v>1.6290621906518941</v>
      </c>
      <c r="O888">
        <v>11.17171537596732</v>
      </c>
      <c r="P888">
        <v>1.7494662189856169</v>
      </c>
      <c r="Q888">
        <v>8.5962832644581795</v>
      </c>
      <c r="R888">
        <v>3</v>
      </c>
      <c r="S888" t="s">
        <v>565</v>
      </c>
      <c r="T888">
        <v>2015</v>
      </c>
      <c r="U888" s="1">
        <v>45901.600802198707</v>
      </c>
      <c r="V888" t="s">
        <v>32</v>
      </c>
      <c r="W888" t="s">
        <v>69</v>
      </c>
      <c r="X888">
        <v>1.163652989939727</v>
      </c>
      <c r="Y888">
        <v>1.0852983062425809</v>
      </c>
      <c r="Z888">
        <v>1.828284624032676</v>
      </c>
      <c r="AA888">
        <v>2.2953020134228188</v>
      </c>
      <c r="AB888">
        <v>0.44986773326042911</v>
      </c>
    </row>
    <row r="889" spans="1:28" x14ac:dyDescent="0.25">
      <c r="A889">
        <v>5</v>
      </c>
      <c r="B889">
        <v>26</v>
      </c>
      <c r="C889">
        <v>12</v>
      </c>
      <c r="D889">
        <v>3226</v>
      </c>
      <c r="E889">
        <v>43</v>
      </c>
      <c r="F889">
        <v>11</v>
      </c>
      <c r="G889">
        <v>6.0936123766005039</v>
      </c>
      <c r="H889" t="s">
        <v>590</v>
      </c>
      <c r="I889" t="s">
        <v>35</v>
      </c>
      <c r="J889">
        <v>0</v>
      </c>
      <c r="K889">
        <v>56</v>
      </c>
      <c r="L889" t="s">
        <v>591</v>
      </c>
      <c r="M889">
        <v>1939</v>
      </c>
      <c r="N889">
        <v>3.8242219071835279</v>
      </c>
      <c r="O889">
        <v>6.8537073768675327</v>
      </c>
      <c r="P889">
        <v>1.63560638204217</v>
      </c>
      <c r="Q889">
        <v>9.7425464875996113</v>
      </c>
      <c r="R889">
        <v>1</v>
      </c>
      <c r="S889" t="s">
        <v>565</v>
      </c>
      <c r="T889">
        <v>2015</v>
      </c>
      <c r="U889" s="1">
        <v>45901.600802198707</v>
      </c>
      <c r="V889" t="s">
        <v>32</v>
      </c>
      <c r="W889" t="s">
        <v>69</v>
      </c>
      <c r="X889">
        <v>1.750877202680422</v>
      </c>
      <c r="Y889">
        <v>1.805168973701059</v>
      </c>
      <c r="Z889">
        <v>5.1462926231324673</v>
      </c>
      <c r="AA889">
        <v>2.5992779783393498</v>
      </c>
      <c r="AB889">
        <v>0.31811947597631662</v>
      </c>
    </row>
    <row r="890" spans="1:28" x14ac:dyDescent="0.25">
      <c r="A890">
        <v>2</v>
      </c>
      <c r="B890">
        <v>36</v>
      </c>
      <c r="C890">
        <v>12</v>
      </c>
      <c r="D890">
        <v>3530</v>
      </c>
      <c r="E890">
        <v>38</v>
      </c>
      <c r="F890">
        <v>8</v>
      </c>
      <c r="G890">
        <v>12.174956496804951</v>
      </c>
      <c r="H890" t="s">
        <v>592</v>
      </c>
      <c r="I890" t="s">
        <v>29</v>
      </c>
      <c r="J890">
        <v>0</v>
      </c>
      <c r="K890">
        <v>141</v>
      </c>
      <c r="L890" t="s">
        <v>593</v>
      </c>
      <c r="M890">
        <v>3142</v>
      </c>
      <c r="N890">
        <v>4.0968754747882494</v>
      </c>
      <c r="O890">
        <v>15.97543336823583</v>
      </c>
      <c r="P890">
        <v>2.841090876609087</v>
      </c>
      <c r="Q890">
        <v>15.717817615717649</v>
      </c>
      <c r="R890">
        <v>5</v>
      </c>
      <c r="S890" t="s">
        <v>565</v>
      </c>
      <c r="T890">
        <v>2015</v>
      </c>
      <c r="U890" s="1">
        <v>45901.600802198707</v>
      </c>
      <c r="V890" t="s">
        <v>32</v>
      </c>
      <c r="W890" t="s">
        <v>69</v>
      </c>
      <c r="X890">
        <v>0.75115333170615362</v>
      </c>
      <c r="Y890">
        <v>0.65708653678552553</v>
      </c>
      <c r="Z890">
        <v>-3.975433368235826</v>
      </c>
      <c r="AA890">
        <v>4.0388287714831321</v>
      </c>
      <c r="AB890">
        <v>0.45760312003221659</v>
      </c>
    </row>
    <row r="891" spans="1:28" x14ac:dyDescent="0.25">
      <c r="A891">
        <v>4</v>
      </c>
      <c r="B891">
        <v>29</v>
      </c>
      <c r="C891">
        <v>11</v>
      </c>
      <c r="D891">
        <v>1734</v>
      </c>
      <c r="E891">
        <v>72</v>
      </c>
      <c r="F891">
        <v>9</v>
      </c>
      <c r="G891">
        <v>3.3049499467015262</v>
      </c>
      <c r="H891" t="s">
        <v>594</v>
      </c>
      <c r="I891" t="s">
        <v>35</v>
      </c>
      <c r="J891">
        <v>2</v>
      </c>
      <c r="K891">
        <v>50</v>
      </c>
      <c r="L891" t="s">
        <v>595</v>
      </c>
      <c r="M891">
        <v>2351</v>
      </c>
      <c r="N891">
        <v>8.3308654092252254</v>
      </c>
      <c r="O891">
        <v>4.8251399472355843</v>
      </c>
      <c r="P891">
        <v>4.4766077045351267</v>
      </c>
      <c r="Q891">
        <v>11.38883313536644</v>
      </c>
      <c r="R891">
        <v>10</v>
      </c>
      <c r="S891" t="s">
        <v>565</v>
      </c>
      <c r="T891">
        <v>2015</v>
      </c>
      <c r="U891" s="1">
        <v>45901.600802198707</v>
      </c>
      <c r="V891" t="s">
        <v>32</v>
      </c>
      <c r="W891" t="s">
        <v>69</v>
      </c>
      <c r="X891">
        <v>2.2797266235359892</v>
      </c>
      <c r="Y891">
        <v>2.7231879892711728</v>
      </c>
      <c r="Z891">
        <v>6.1748600527644157</v>
      </c>
      <c r="AA891">
        <v>1.914079115270098</v>
      </c>
      <c r="AB891">
        <v>0.18471399202518191</v>
      </c>
    </row>
    <row r="892" spans="1:28" x14ac:dyDescent="0.25">
      <c r="A892">
        <v>0</v>
      </c>
      <c r="B892">
        <v>36</v>
      </c>
      <c r="C892">
        <v>11</v>
      </c>
      <c r="D892">
        <v>3211</v>
      </c>
      <c r="E892">
        <v>25</v>
      </c>
      <c r="F892">
        <v>9</v>
      </c>
      <c r="G892">
        <v>13.64383753761649</v>
      </c>
      <c r="H892" t="s">
        <v>304</v>
      </c>
      <c r="I892" t="s">
        <v>35</v>
      </c>
      <c r="J892">
        <v>0</v>
      </c>
      <c r="K892">
        <v>108</v>
      </c>
      <c r="L892" t="s">
        <v>575</v>
      </c>
      <c r="M892">
        <v>2942</v>
      </c>
      <c r="N892">
        <v>3.1082921344786878</v>
      </c>
      <c r="O892">
        <v>15.92412557825446</v>
      </c>
      <c r="P892">
        <v>2.9882614184170961</v>
      </c>
      <c r="Q892">
        <v>17.417289640754461</v>
      </c>
      <c r="R892">
        <v>1</v>
      </c>
      <c r="S892" t="s">
        <v>565</v>
      </c>
      <c r="T892">
        <v>2015</v>
      </c>
      <c r="U892" s="1">
        <v>45901.600802198707</v>
      </c>
      <c r="V892" t="s">
        <v>32</v>
      </c>
      <c r="W892" t="s">
        <v>69</v>
      </c>
      <c r="X892">
        <v>0.69077576322440537</v>
      </c>
      <c r="Y892">
        <v>0.65963846133367654</v>
      </c>
      <c r="Z892">
        <v>-4.9241255782544604</v>
      </c>
      <c r="AA892">
        <v>3.3038749150237932</v>
      </c>
      <c r="AB892">
        <v>0.48714184297855251</v>
      </c>
    </row>
    <row r="893" spans="1:28" x14ac:dyDescent="0.25">
      <c r="A893">
        <v>3</v>
      </c>
      <c r="B893">
        <v>21</v>
      </c>
      <c r="C893">
        <v>11</v>
      </c>
      <c r="D893">
        <v>3461</v>
      </c>
      <c r="E893">
        <v>20</v>
      </c>
      <c r="F893">
        <v>9</v>
      </c>
      <c r="G893">
        <v>7.8770698383450508</v>
      </c>
      <c r="H893" t="s">
        <v>596</v>
      </c>
      <c r="I893" t="s">
        <v>29</v>
      </c>
      <c r="J893">
        <v>1</v>
      </c>
      <c r="K893">
        <v>55</v>
      </c>
      <c r="L893" t="s">
        <v>578</v>
      </c>
      <c r="M893">
        <v>1659</v>
      </c>
      <c r="N893">
        <v>1.9309377083554859</v>
      </c>
      <c r="O893">
        <v>9.3972598165273684</v>
      </c>
      <c r="P893">
        <v>2.965994887053967</v>
      </c>
      <c r="Q893">
        <v>11.071754161268469</v>
      </c>
      <c r="R893">
        <v>1</v>
      </c>
      <c r="S893" t="s">
        <v>565</v>
      </c>
      <c r="T893">
        <v>2015</v>
      </c>
      <c r="U893" s="1">
        <v>45901.600802198707</v>
      </c>
      <c r="V893" t="s">
        <v>32</v>
      </c>
      <c r="W893" t="s">
        <v>69</v>
      </c>
      <c r="X893">
        <v>1.1705539928409581</v>
      </c>
      <c r="Y893">
        <v>1.1425568370853589</v>
      </c>
      <c r="Z893">
        <v>1.602740183472632</v>
      </c>
      <c r="AA893">
        <v>2.9837251356238701</v>
      </c>
      <c r="AB893">
        <v>0.50979709673747031</v>
      </c>
    </row>
    <row r="894" spans="1:28" x14ac:dyDescent="0.25">
      <c r="A894">
        <v>2</v>
      </c>
      <c r="B894">
        <v>35</v>
      </c>
      <c r="C894">
        <v>10</v>
      </c>
      <c r="D894">
        <v>3526</v>
      </c>
      <c r="E894">
        <v>39</v>
      </c>
      <c r="F894">
        <v>10</v>
      </c>
      <c r="G894">
        <v>6.460515177808702</v>
      </c>
      <c r="H894" t="s">
        <v>597</v>
      </c>
      <c r="I894" t="s">
        <v>35</v>
      </c>
      <c r="J894">
        <v>0</v>
      </c>
      <c r="K894">
        <v>77</v>
      </c>
      <c r="L894" t="s">
        <v>598</v>
      </c>
      <c r="M894">
        <v>2882</v>
      </c>
      <c r="N894">
        <v>3.8329270523972809</v>
      </c>
      <c r="O894">
        <v>6.460515177808702</v>
      </c>
      <c r="P894">
        <v>4.0954983038827777</v>
      </c>
      <c r="Q894">
        <v>11.355255128350111</v>
      </c>
      <c r="R894">
        <v>1</v>
      </c>
      <c r="S894" t="s">
        <v>565</v>
      </c>
      <c r="T894">
        <v>2015</v>
      </c>
      <c r="U894" s="1">
        <v>45901.600802198707</v>
      </c>
      <c r="V894" t="s">
        <v>32</v>
      </c>
      <c r="W894" t="s">
        <v>69</v>
      </c>
      <c r="X894">
        <v>1.5478641756541509</v>
      </c>
      <c r="Y894">
        <v>1.5478641756541509</v>
      </c>
      <c r="Z894">
        <v>3.539484822191298</v>
      </c>
      <c r="AA894">
        <v>2.4045801526717558</v>
      </c>
      <c r="AB894">
        <v>0.2017509944492655</v>
      </c>
    </row>
    <row r="895" spans="1:28" x14ac:dyDescent="0.25">
      <c r="A895">
        <v>18</v>
      </c>
      <c r="B895">
        <v>29</v>
      </c>
      <c r="C895">
        <v>10</v>
      </c>
      <c r="D895">
        <v>3553</v>
      </c>
      <c r="E895">
        <v>99</v>
      </c>
      <c r="F895">
        <v>10</v>
      </c>
      <c r="G895">
        <v>6.7915242705494174</v>
      </c>
      <c r="H895" t="s">
        <v>599</v>
      </c>
      <c r="I895" t="s">
        <v>35</v>
      </c>
      <c r="J895">
        <v>0</v>
      </c>
      <c r="K895">
        <v>69</v>
      </c>
      <c r="L895" t="s">
        <v>568</v>
      </c>
      <c r="M895">
        <v>2138</v>
      </c>
      <c r="N895">
        <v>17.349409222602841</v>
      </c>
      <c r="O895">
        <v>6.7915242705494174</v>
      </c>
      <c r="P895">
        <v>13.537815891206259</v>
      </c>
      <c r="Q895">
        <v>26.594446048140529</v>
      </c>
      <c r="R895">
        <v>0</v>
      </c>
      <c r="S895" t="s">
        <v>565</v>
      </c>
      <c r="T895">
        <v>2015</v>
      </c>
      <c r="U895" s="1">
        <v>45901.600802198707</v>
      </c>
      <c r="V895" t="s">
        <v>32</v>
      </c>
      <c r="W895" t="s">
        <v>69</v>
      </c>
      <c r="X895">
        <v>1.4724235093090561</v>
      </c>
      <c r="Y895">
        <v>1.4724235093090561</v>
      </c>
      <c r="Z895">
        <v>3.208475729450583</v>
      </c>
      <c r="AA895">
        <v>2.904583723105707</v>
      </c>
      <c r="AB895">
        <v>0.28589204132340862</v>
      </c>
    </row>
    <row r="896" spans="1:28" x14ac:dyDescent="0.25">
      <c r="A896">
        <v>4</v>
      </c>
      <c r="B896">
        <v>22</v>
      </c>
      <c r="C896">
        <v>10</v>
      </c>
      <c r="D896">
        <v>3577</v>
      </c>
      <c r="E896">
        <v>14</v>
      </c>
      <c r="F896">
        <v>9</v>
      </c>
      <c r="G896">
        <v>6.20801742374897</v>
      </c>
      <c r="H896" t="s">
        <v>600</v>
      </c>
      <c r="I896" t="s">
        <v>29</v>
      </c>
      <c r="J896">
        <v>1</v>
      </c>
      <c r="K896">
        <v>38</v>
      </c>
      <c r="L896" t="s">
        <v>574</v>
      </c>
      <c r="M896">
        <v>1450</v>
      </c>
      <c r="N896">
        <v>2.5986141134053469</v>
      </c>
      <c r="O896">
        <v>6.9681120216846466</v>
      </c>
      <c r="P896">
        <v>1.6915555913001299</v>
      </c>
      <c r="Q896">
        <v>7.3480137195438147</v>
      </c>
      <c r="R896">
        <v>0</v>
      </c>
      <c r="S896" t="s">
        <v>565</v>
      </c>
      <c r="T896">
        <v>2015</v>
      </c>
      <c r="U896" s="1">
        <v>45901.600802198707</v>
      </c>
      <c r="V896" t="s">
        <v>32</v>
      </c>
      <c r="W896" t="s">
        <v>69</v>
      </c>
      <c r="X896">
        <v>1.4351089604874561</v>
      </c>
      <c r="Y896">
        <v>1.449738199118161</v>
      </c>
      <c r="Z896">
        <v>3.0318879783153529</v>
      </c>
      <c r="AA896">
        <v>2.3586206896551731</v>
      </c>
      <c r="AB896">
        <v>0.4325035047942194</v>
      </c>
    </row>
    <row r="897" spans="1:28" x14ac:dyDescent="0.25">
      <c r="A897">
        <v>4</v>
      </c>
      <c r="B897">
        <v>36</v>
      </c>
      <c r="C897">
        <v>35</v>
      </c>
      <c r="D897">
        <v>3294</v>
      </c>
      <c r="E897">
        <v>25</v>
      </c>
      <c r="F897">
        <v>28</v>
      </c>
      <c r="G897">
        <v>30.78585763648152</v>
      </c>
      <c r="H897" t="s">
        <v>135</v>
      </c>
      <c r="I897" t="s">
        <v>29</v>
      </c>
      <c r="J897">
        <v>0</v>
      </c>
      <c r="K897">
        <v>143</v>
      </c>
      <c r="L897" t="s">
        <v>568</v>
      </c>
      <c r="M897">
        <v>2983</v>
      </c>
      <c r="N897">
        <v>2.2004457861185069</v>
      </c>
      <c r="O897">
        <v>36.866617988795042</v>
      </c>
      <c r="P897">
        <v>2.781270120292902</v>
      </c>
      <c r="Q897">
        <v>30.913604438304901</v>
      </c>
      <c r="R897">
        <v>5</v>
      </c>
      <c r="S897" t="s">
        <v>565</v>
      </c>
      <c r="T897">
        <v>2016</v>
      </c>
      <c r="U897" s="1">
        <v>45901.600802198707</v>
      </c>
      <c r="V897" t="s">
        <v>32</v>
      </c>
      <c r="W897" t="s">
        <v>84</v>
      </c>
      <c r="X897">
        <v>0.94936834213102028</v>
      </c>
      <c r="Y897">
        <v>0.90950852598044052</v>
      </c>
      <c r="Z897">
        <v>-1.866617988795042</v>
      </c>
      <c r="AA897">
        <v>4.3144485417365068</v>
      </c>
      <c r="AB897">
        <v>1.112301581961634</v>
      </c>
    </row>
    <row r="898" spans="1:28" x14ac:dyDescent="0.25">
      <c r="A898">
        <v>3</v>
      </c>
      <c r="B898">
        <v>30</v>
      </c>
      <c r="C898">
        <v>28</v>
      </c>
      <c r="D898">
        <v>3277</v>
      </c>
      <c r="E898">
        <v>50</v>
      </c>
      <c r="F898">
        <v>18</v>
      </c>
      <c r="G898">
        <v>13.352955881506199</v>
      </c>
      <c r="H898" t="s">
        <v>99</v>
      </c>
      <c r="I898" t="s">
        <v>29</v>
      </c>
      <c r="J898">
        <v>0</v>
      </c>
      <c r="K898">
        <v>85</v>
      </c>
      <c r="L898" t="s">
        <v>564</v>
      </c>
      <c r="M898">
        <v>2416</v>
      </c>
      <c r="N898">
        <v>6.6583008728921413</v>
      </c>
      <c r="O898">
        <v>22.474019102752209</v>
      </c>
      <c r="P898">
        <v>7.6290511712431908</v>
      </c>
      <c r="Q898">
        <v>23.215866085141901</v>
      </c>
      <c r="R898">
        <v>3</v>
      </c>
      <c r="S898" t="s">
        <v>565</v>
      </c>
      <c r="T898">
        <v>2016</v>
      </c>
      <c r="U898" s="1">
        <v>45901.600802198707</v>
      </c>
      <c r="V898" t="s">
        <v>32</v>
      </c>
      <c r="W898" t="s">
        <v>84</v>
      </c>
      <c r="X898">
        <v>1.245883073783232</v>
      </c>
      <c r="Y898">
        <v>1.348016136631585</v>
      </c>
      <c r="Z898">
        <v>5.5259808972477913</v>
      </c>
      <c r="AA898">
        <v>3.1663907284768209</v>
      </c>
      <c r="AB898">
        <v>0.83719442021841839</v>
      </c>
    </row>
    <row r="899" spans="1:28" x14ac:dyDescent="0.25">
      <c r="A899">
        <v>5</v>
      </c>
      <c r="B899">
        <v>29</v>
      </c>
      <c r="C899">
        <v>21</v>
      </c>
      <c r="D899">
        <v>696</v>
      </c>
      <c r="E899">
        <v>23</v>
      </c>
      <c r="F899">
        <v>17</v>
      </c>
      <c r="G899">
        <v>11.822962630540131</v>
      </c>
      <c r="H899" t="s">
        <v>601</v>
      </c>
      <c r="I899" t="s">
        <v>29</v>
      </c>
      <c r="J899">
        <v>0</v>
      </c>
      <c r="K899">
        <v>80</v>
      </c>
      <c r="L899" t="s">
        <v>602</v>
      </c>
      <c r="M899">
        <v>1969</v>
      </c>
      <c r="N899">
        <v>2.8996158242225651</v>
      </c>
      <c r="O899">
        <v>14.863331604748961</v>
      </c>
      <c r="P899">
        <v>3.5744480490684509</v>
      </c>
      <c r="Q899">
        <v>15.48709108307958</v>
      </c>
      <c r="R899">
        <v>2</v>
      </c>
      <c r="S899" t="s">
        <v>565</v>
      </c>
      <c r="T899">
        <v>2016</v>
      </c>
      <c r="U899" s="1">
        <v>45901.600802198707</v>
      </c>
      <c r="V899" t="s">
        <v>32</v>
      </c>
      <c r="W899" t="s">
        <v>84</v>
      </c>
      <c r="X899">
        <v>1.4128730057593759</v>
      </c>
      <c r="Y899">
        <v>1.4378798725191739</v>
      </c>
      <c r="Z899">
        <v>6.1366683952510357</v>
      </c>
      <c r="AA899">
        <v>3.656678517013713</v>
      </c>
      <c r="AB899">
        <v>0.6793803171292061</v>
      </c>
    </row>
    <row r="900" spans="1:28" x14ac:dyDescent="0.25">
      <c r="A900">
        <v>3</v>
      </c>
      <c r="B900">
        <v>31</v>
      </c>
      <c r="C900">
        <v>20</v>
      </c>
      <c r="D900">
        <v>717</v>
      </c>
      <c r="E900">
        <v>25</v>
      </c>
      <c r="F900">
        <v>17</v>
      </c>
      <c r="G900">
        <v>16.219552895054221</v>
      </c>
      <c r="H900" t="s">
        <v>603</v>
      </c>
      <c r="I900" t="s">
        <v>29</v>
      </c>
      <c r="J900">
        <v>0</v>
      </c>
      <c r="K900">
        <v>91</v>
      </c>
      <c r="L900" t="s">
        <v>567</v>
      </c>
      <c r="M900">
        <v>2613</v>
      </c>
      <c r="N900">
        <v>2.7958390228450298</v>
      </c>
      <c r="O900">
        <v>18.49983580969274</v>
      </c>
      <c r="P900">
        <v>2.6764261871576309</v>
      </c>
      <c r="Q900">
        <v>17.55815135315061</v>
      </c>
      <c r="R900">
        <v>6</v>
      </c>
      <c r="S900" t="s">
        <v>565</v>
      </c>
      <c r="T900">
        <v>2016</v>
      </c>
      <c r="U900" s="1">
        <v>45901.600802198707</v>
      </c>
      <c r="V900" t="s">
        <v>32</v>
      </c>
      <c r="W900" t="s">
        <v>84</v>
      </c>
      <c r="X900">
        <v>1.0810906759248791</v>
      </c>
      <c r="Y900">
        <v>1.048117670690156</v>
      </c>
      <c r="Z900">
        <v>1.50016419030726</v>
      </c>
      <c r="AA900">
        <v>3.1343283582089549</v>
      </c>
      <c r="AB900">
        <v>0.63719296703878558</v>
      </c>
    </row>
    <row r="901" spans="1:28" x14ac:dyDescent="0.25">
      <c r="A901">
        <v>8</v>
      </c>
      <c r="B901">
        <v>38</v>
      </c>
      <c r="C901">
        <v>15</v>
      </c>
      <c r="D901">
        <v>942</v>
      </c>
      <c r="E901">
        <v>61</v>
      </c>
      <c r="F901">
        <v>14</v>
      </c>
      <c r="G901">
        <v>8.8698607124388218</v>
      </c>
      <c r="H901" t="s">
        <v>604</v>
      </c>
      <c r="I901" t="s">
        <v>35</v>
      </c>
      <c r="J901">
        <v>0</v>
      </c>
      <c r="K901">
        <v>95</v>
      </c>
      <c r="L901" t="s">
        <v>567</v>
      </c>
      <c r="M901">
        <v>2991</v>
      </c>
      <c r="N901">
        <v>8.5741202617064118</v>
      </c>
      <c r="O901">
        <v>9.6299558319151402</v>
      </c>
      <c r="P901">
        <v>10.39108912460506</v>
      </c>
      <c r="Q901">
        <v>22.089292909950011</v>
      </c>
      <c r="R901">
        <v>2</v>
      </c>
      <c r="S901" t="s">
        <v>565</v>
      </c>
      <c r="T901">
        <v>2016</v>
      </c>
      <c r="U901" s="1">
        <v>45901.600802198707</v>
      </c>
      <c r="V901" t="s">
        <v>32</v>
      </c>
      <c r="W901" t="s">
        <v>84</v>
      </c>
      <c r="X901">
        <v>1.5576395428821921</v>
      </c>
      <c r="Y901">
        <v>1.5783787878841009</v>
      </c>
      <c r="Z901">
        <v>5.3700441680848598</v>
      </c>
      <c r="AA901">
        <v>2.858575727181544</v>
      </c>
      <c r="AB901">
        <v>0.28976797889413658</v>
      </c>
    </row>
    <row r="902" spans="1:28" x14ac:dyDescent="0.25">
      <c r="A902">
        <v>1</v>
      </c>
      <c r="B902">
        <v>23</v>
      </c>
      <c r="C902">
        <v>15</v>
      </c>
      <c r="D902">
        <v>1817</v>
      </c>
      <c r="E902">
        <v>10</v>
      </c>
      <c r="F902">
        <v>12</v>
      </c>
      <c r="G902">
        <v>8.8853736650198698</v>
      </c>
      <c r="H902" t="s">
        <v>605</v>
      </c>
      <c r="I902" t="s">
        <v>29</v>
      </c>
      <c r="J902">
        <v>3</v>
      </c>
      <c r="K902">
        <v>75</v>
      </c>
      <c r="L902" t="s">
        <v>583</v>
      </c>
      <c r="M902">
        <v>1748</v>
      </c>
      <c r="N902">
        <v>0.9889703020453452</v>
      </c>
      <c r="O902">
        <v>11.925692638382319</v>
      </c>
      <c r="P902">
        <v>2.2789260689169168</v>
      </c>
      <c r="Q902">
        <v>8.8856954928487539</v>
      </c>
      <c r="R902">
        <v>5</v>
      </c>
      <c r="S902" t="s">
        <v>565</v>
      </c>
      <c r="T902">
        <v>2016</v>
      </c>
      <c r="U902" s="1">
        <v>45901.600802198707</v>
      </c>
      <c r="V902" t="s">
        <v>32</v>
      </c>
      <c r="W902" t="s">
        <v>84</v>
      </c>
      <c r="X902">
        <v>1.257788579232971</v>
      </c>
      <c r="Y902">
        <v>1.3505340858361261</v>
      </c>
      <c r="Z902">
        <v>3.0743073616176839</v>
      </c>
      <c r="AA902">
        <v>3.861556064073226</v>
      </c>
      <c r="AB902">
        <v>0.61402307634691555</v>
      </c>
    </row>
    <row r="903" spans="1:28" x14ac:dyDescent="0.25">
      <c r="A903">
        <v>8</v>
      </c>
      <c r="B903">
        <v>29</v>
      </c>
      <c r="C903">
        <v>15</v>
      </c>
      <c r="D903">
        <v>3423</v>
      </c>
      <c r="E903">
        <v>31</v>
      </c>
      <c r="F903">
        <v>15</v>
      </c>
      <c r="G903">
        <v>8.2833550181239843</v>
      </c>
      <c r="H903" t="s">
        <v>312</v>
      </c>
      <c r="I903" t="s">
        <v>35</v>
      </c>
      <c r="J903">
        <v>0</v>
      </c>
      <c r="K903">
        <v>53</v>
      </c>
      <c r="L903" t="s">
        <v>602</v>
      </c>
      <c r="M903">
        <v>1503</v>
      </c>
      <c r="N903">
        <v>6.2257652152329683</v>
      </c>
      <c r="O903">
        <v>8.2833550181239843</v>
      </c>
      <c r="P903">
        <v>2.3409838937222962</v>
      </c>
      <c r="Q903">
        <v>15.44271147996187</v>
      </c>
      <c r="R903">
        <v>2</v>
      </c>
      <c r="S903" t="s">
        <v>565</v>
      </c>
      <c r="T903">
        <v>2016</v>
      </c>
      <c r="U903" s="1">
        <v>45901.600802198707</v>
      </c>
      <c r="V903" t="s">
        <v>32</v>
      </c>
      <c r="W903" t="s">
        <v>84</v>
      </c>
      <c r="X903">
        <v>1.8108604505275929</v>
      </c>
      <c r="Y903">
        <v>1.8108604505275929</v>
      </c>
      <c r="Z903">
        <v>6.7166449818760157</v>
      </c>
      <c r="AA903">
        <v>3.1736526946107788</v>
      </c>
      <c r="AB903">
        <v>0.49600928252239429</v>
      </c>
    </row>
    <row r="904" spans="1:28" x14ac:dyDescent="0.25">
      <c r="A904">
        <v>2</v>
      </c>
      <c r="B904">
        <v>34</v>
      </c>
      <c r="C904">
        <v>15</v>
      </c>
      <c r="D904">
        <v>5701</v>
      </c>
      <c r="E904">
        <v>25</v>
      </c>
      <c r="F904">
        <v>12</v>
      </c>
      <c r="G904">
        <v>9.6695267967879754</v>
      </c>
      <c r="H904" t="s">
        <v>606</v>
      </c>
      <c r="I904" t="s">
        <v>32</v>
      </c>
      <c r="J904">
        <v>0</v>
      </c>
      <c r="K904">
        <v>71</v>
      </c>
      <c r="L904" t="s">
        <v>593</v>
      </c>
      <c r="M904">
        <v>2905</v>
      </c>
      <c r="N904">
        <v>3.0780026763677601</v>
      </c>
      <c r="O904">
        <v>12.709910731762649</v>
      </c>
      <c r="P904">
        <v>3.3144439198076729</v>
      </c>
      <c r="Q904">
        <v>14.473920196294779</v>
      </c>
      <c r="R904">
        <v>7</v>
      </c>
      <c r="S904" t="s">
        <v>565</v>
      </c>
      <c r="T904">
        <v>2016</v>
      </c>
      <c r="U904" s="1">
        <v>45901.600802198707</v>
      </c>
      <c r="V904" t="s">
        <v>32</v>
      </c>
      <c r="W904" t="s">
        <v>84</v>
      </c>
      <c r="X904">
        <v>1.180181381015865</v>
      </c>
      <c r="Y904">
        <v>1.2410121252248001</v>
      </c>
      <c r="Z904">
        <v>2.2900892682373519</v>
      </c>
      <c r="AA904">
        <v>2.1996557659208258</v>
      </c>
      <c r="AB904">
        <v>0.3937665975416999</v>
      </c>
    </row>
    <row r="905" spans="1:28" x14ac:dyDescent="0.25">
      <c r="A905">
        <v>1</v>
      </c>
      <c r="B905">
        <v>30</v>
      </c>
      <c r="C905">
        <v>14</v>
      </c>
      <c r="D905">
        <v>3244</v>
      </c>
      <c r="E905">
        <v>37</v>
      </c>
      <c r="F905">
        <v>9</v>
      </c>
      <c r="G905">
        <v>5.8196246381849051</v>
      </c>
      <c r="H905" t="s">
        <v>607</v>
      </c>
      <c r="I905" t="s">
        <v>35</v>
      </c>
      <c r="J905">
        <v>0</v>
      </c>
      <c r="K905">
        <v>63</v>
      </c>
      <c r="L905" t="s">
        <v>595</v>
      </c>
      <c r="M905">
        <v>2077</v>
      </c>
      <c r="N905">
        <v>3.2830588100478049</v>
      </c>
      <c r="O905">
        <v>9.6200956851243955</v>
      </c>
      <c r="P905">
        <v>3.891464084386826</v>
      </c>
      <c r="Q905">
        <v>10.80867110006511</v>
      </c>
      <c r="R905">
        <v>2</v>
      </c>
      <c r="S905" t="s">
        <v>565</v>
      </c>
      <c r="T905">
        <v>2016</v>
      </c>
      <c r="U905" s="1">
        <v>45901.600802198707</v>
      </c>
      <c r="V905" t="s">
        <v>32</v>
      </c>
      <c r="W905" t="s">
        <v>84</v>
      </c>
      <c r="X905">
        <v>1.455286980320609</v>
      </c>
      <c r="Y905">
        <v>1.546491493789371</v>
      </c>
      <c r="Z905">
        <v>4.3799043148756036</v>
      </c>
      <c r="AA905">
        <v>2.7298988926336061</v>
      </c>
      <c r="AB905">
        <v>0.41685537393413358</v>
      </c>
    </row>
    <row r="906" spans="1:28" x14ac:dyDescent="0.25">
      <c r="A906">
        <v>3</v>
      </c>
      <c r="B906">
        <v>35</v>
      </c>
      <c r="C906">
        <v>14</v>
      </c>
      <c r="D906">
        <v>3800</v>
      </c>
      <c r="E906">
        <v>24</v>
      </c>
      <c r="F906">
        <v>14</v>
      </c>
      <c r="G906">
        <v>11.62460676953196</v>
      </c>
      <c r="H906" t="s">
        <v>608</v>
      </c>
      <c r="I906" t="s">
        <v>29</v>
      </c>
      <c r="J906">
        <v>1</v>
      </c>
      <c r="K906">
        <v>105</v>
      </c>
      <c r="L906" t="s">
        <v>580</v>
      </c>
      <c r="M906">
        <v>2839</v>
      </c>
      <c r="N906">
        <v>2.8828752208501101</v>
      </c>
      <c r="O906">
        <v>11.62460676953196</v>
      </c>
      <c r="P906">
        <v>2.9643536526709791</v>
      </c>
      <c r="Q906">
        <v>13.82778026163578</v>
      </c>
      <c r="R906">
        <v>4</v>
      </c>
      <c r="S906" t="s">
        <v>565</v>
      </c>
      <c r="T906">
        <v>2016</v>
      </c>
      <c r="U906" s="1">
        <v>45901.600802198707</v>
      </c>
      <c r="V906" t="s">
        <v>32</v>
      </c>
      <c r="W906" t="s">
        <v>84</v>
      </c>
      <c r="X906">
        <v>1.204341813668393</v>
      </c>
      <c r="Y906">
        <v>1.204341813668393</v>
      </c>
      <c r="Z906">
        <v>2.375393230468037</v>
      </c>
      <c r="AA906">
        <v>3.3286368439591412</v>
      </c>
      <c r="AB906">
        <v>0.36851518466286598</v>
      </c>
    </row>
    <row r="907" spans="1:28" x14ac:dyDescent="0.25">
      <c r="A907">
        <v>1</v>
      </c>
      <c r="B907">
        <v>25</v>
      </c>
      <c r="C907">
        <v>13</v>
      </c>
      <c r="D907">
        <v>3570</v>
      </c>
      <c r="E907">
        <v>27</v>
      </c>
      <c r="F907">
        <v>10</v>
      </c>
      <c r="G907">
        <v>7.9183815205469728</v>
      </c>
      <c r="H907" t="s">
        <v>589</v>
      </c>
      <c r="I907" t="s">
        <v>35</v>
      </c>
      <c r="J907">
        <v>0</v>
      </c>
      <c r="K907">
        <v>48</v>
      </c>
      <c r="L907" t="s">
        <v>578</v>
      </c>
      <c r="M907">
        <v>2017</v>
      </c>
      <c r="N907">
        <v>3.6729726120829582</v>
      </c>
      <c r="O907">
        <v>10.19866470340639</v>
      </c>
      <c r="P907">
        <v>1.8973922776058321</v>
      </c>
      <c r="Q907">
        <v>12.508198548108339</v>
      </c>
      <c r="R907">
        <v>1</v>
      </c>
      <c r="S907" t="s">
        <v>565</v>
      </c>
      <c r="T907">
        <v>2016</v>
      </c>
      <c r="U907" s="1">
        <v>45901.600802198707</v>
      </c>
      <c r="V907" t="s">
        <v>32</v>
      </c>
      <c r="W907" t="s">
        <v>84</v>
      </c>
      <c r="X907">
        <v>1.274676673668657</v>
      </c>
      <c r="Y907">
        <v>1.2628843374181391</v>
      </c>
      <c r="Z907">
        <v>2.801335296593606</v>
      </c>
      <c r="AA907">
        <v>2.1417947446703018</v>
      </c>
      <c r="AB907">
        <v>0.45507180134188169</v>
      </c>
    </row>
    <row r="908" spans="1:28" x14ac:dyDescent="0.25">
      <c r="A908">
        <v>5</v>
      </c>
      <c r="B908">
        <v>37</v>
      </c>
      <c r="C908">
        <v>12</v>
      </c>
      <c r="D908">
        <v>3293</v>
      </c>
      <c r="E908">
        <v>55</v>
      </c>
      <c r="F908">
        <v>11</v>
      </c>
      <c r="G908">
        <v>9.4607969401404262</v>
      </c>
      <c r="H908" t="s">
        <v>121</v>
      </c>
      <c r="I908" t="s">
        <v>35</v>
      </c>
      <c r="J908">
        <v>0</v>
      </c>
      <c r="K908">
        <v>66</v>
      </c>
      <c r="L908" t="s">
        <v>568</v>
      </c>
      <c r="M908">
        <v>2446</v>
      </c>
      <c r="N908">
        <v>6.0927172135561696</v>
      </c>
      <c r="O908">
        <v>10.220891910605131</v>
      </c>
      <c r="P908">
        <v>11.1317125800997</v>
      </c>
      <c r="Q908">
        <v>22.506100445985801</v>
      </c>
      <c r="R908">
        <v>0</v>
      </c>
      <c r="S908" t="s">
        <v>565</v>
      </c>
      <c r="T908">
        <v>2016</v>
      </c>
      <c r="U908" s="1">
        <v>45901.600802198707</v>
      </c>
      <c r="V908" t="s">
        <v>32</v>
      </c>
      <c r="W908" t="s">
        <v>84</v>
      </c>
      <c r="X908">
        <v>1.174065835443272</v>
      </c>
      <c r="Y908">
        <v>1.162692748781978</v>
      </c>
      <c r="Z908">
        <v>1.779108089394867</v>
      </c>
      <c r="AA908">
        <v>2.428454619787408</v>
      </c>
      <c r="AB908">
        <v>0.37607533604025423</v>
      </c>
    </row>
    <row r="909" spans="1:28" x14ac:dyDescent="0.25">
      <c r="A909">
        <v>4</v>
      </c>
      <c r="B909">
        <v>34</v>
      </c>
      <c r="C909">
        <v>12</v>
      </c>
      <c r="D909">
        <v>3406</v>
      </c>
      <c r="E909">
        <v>32</v>
      </c>
      <c r="F909">
        <v>11</v>
      </c>
      <c r="G909">
        <v>8.754426833242178</v>
      </c>
      <c r="H909" t="s">
        <v>609</v>
      </c>
      <c r="I909" t="s">
        <v>29</v>
      </c>
      <c r="J909">
        <v>0</v>
      </c>
      <c r="K909">
        <v>68</v>
      </c>
      <c r="L909" t="s">
        <v>610</v>
      </c>
      <c r="M909">
        <v>2573</v>
      </c>
      <c r="N909">
        <v>2.7482742071151729</v>
      </c>
      <c r="O909">
        <v>10.27461975812912</v>
      </c>
      <c r="P909">
        <v>3.6600443944334971</v>
      </c>
      <c r="Q909">
        <v>13.217865891754631</v>
      </c>
      <c r="R909">
        <v>6</v>
      </c>
      <c r="S909" t="s">
        <v>565</v>
      </c>
      <c r="T909">
        <v>2016</v>
      </c>
      <c r="U909" s="1">
        <v>45901.600802198707</v>
      </c>
      <c r="V909" t="s">
        <v>32</v>
      </c>
      <c r="W909" t="s">
        <v>84</v>
      </c>
      <c r="X909">
        <v>1.167926432557836</v>
      </c>
      <c r="Y909">
        <v>1.256507160266731</v>
      </c>
      <c r="Z909">
        <v>1.7253802418708799</v>
      </c>
      <c r="AA909">
        <v>2.378546443839876</v>
      </c>
      <c r="AB909">
        <v>0.35939206305154331</v>
      </c>
    </row>
    <row r="910" spans="1:28" x14ac:dyDescent="0.25">
      <c r="A910">
        <v>5</v>
      </c>
      <c r="B910">
        <v>34</v>
      </c>
      <c r="C910">
        <v>12</v>
      </c>
      <c r="D910">
        <v>3477</v>
      </c>
      <c r="E910">
        <v>32</v>
      </c>
      <c r="F910">
        <v>9</v>
      </c>
      <c r="G910">
        <v>9.5168152302503604</v>
      </c>
      <c r="H910" t="s">
        <v>611</v>
      </c>
      <c r="I910" t="s">
        <v>29</v>
      </c>
      <c r="J910">
        <v>0</v>
      </c>
      <c r="K910">
        <v>71</v>
      </c>
      <c r="L910" t="s">
        <v>572</v>
      </c>
      <c r="M910">
        <v>2885</v>
      </c>
      <c r="N910">
        <v>4.3820585142821074</v>
      </c>
      <c r="O910">
        <v>11.79703530110419</v>
      </c>
      <c r="P910">
        <v>4.9955684598535299</v>
      </c>
      <c r="Q910">
        <v>15.651104193180799</v>
      </c>
      <c r="R910">
        <v>2</v>
      </c>
      <c r="S910" t="s">
        <v>565</v>
      </c>
      <c r="T910">
        <v>2016</v>
      </c>
      <c r="U910" s="1">
        <v>45901.600802198707</v>
      </c>
      <c r="V910" t="s">
        <v>32</v>
      </c>
      <c r="W910" t="s">
        <v>84</v>
      </c>
      <c r="X910">
        <v>1.017204720823105</v>
      </c>
      <c r="Y910">
        <v>0.94569451883361144</v>
      </c>
      <c r="Z910">
        <v>0.20296469889581201</v>
      </c>
      <c r="AA910">
        <v>2.2149046793760832</v>
      </c>
      <c r="AB910">
        <v>0.36801843227014802</v>
      </c>
    </row>
    <row r="911" spans="1:28" x14ac:dyDescent="0.25">
      <c r="A911">
        <v>3</v>
      </c>
      <c r="B911">
        <v>34</v>
      </c>
      <c r="C911">
        <v>11</v>
      </c>
      <c r="D911">
        <v>3211</v>
      </c>
      <c r="E911">
        <v>23</v>
      </c>
      <c r="F911">
        <v>7</v>
      </c>
      <c r="G911">
        <v>9.4511323608458042</v>
      </c>
      <c r="H911" t="s">
        <v>304</v>
      </c>
      <c r="I911" t="s">
        <v>35</v>
      </c>
      <c r="J911">
        <v>0</v>
      </c>
      <c r="K911">
        <v>98</v>
      </c>
      <c r="L911" t="s">
        <v>575</v>
      </c>
      <c r="M911">
        <v>2948</v>
      </c>
      <c r="N911">
        <v>3.1576498299837108</v>
      </c>
      <c r="O911">
        <v>14.01149836555123</v>
      </c>
      <c r="P911">
        <v>1.632326306775213</v>
      </c>
      <c r="Q911">
        <v>10.979184553027149</v>
      </c>
      <c r="R911">
        <v>7</v>
      </c>
      <c r="S911" t="s">
        <v>565</v>
      </c>
      <c r="T911">
        <v>2016</v>
      </c>
      <c r="U911" s="1">
        <v>45901.600802198707</v>
      </c>
      <c r="V911" t="s">
        <v>32</v>
      </c>
      <c r="W911" t="s">
        <v>84</v>
      </c>
      <c r="X911">
        <v>0.78506949885136323</v>
      </c>
      <c r="Y911">
        <v>0.74065199097196366</v>
      </c>
      <c r="Z911">
        <v>-3.011498365551232</v>
      </c>
      <c r="AA911">
        <v>2.9918588873812761</v>
      </c>
      <c r="AB911">
        <v>0.42775944806635369</v>
      </c>
    </row>
    <row r="912" spans="1:28" x14ac:dyDescent="0.25">
      <c r="A912">
        <v>2</v>
      </c>
      <c r="B912">
        <v>25</v>
      </c>
      <c r="C912">
        <v>11</v>
      </c>
      <c r="D912">
        <v>3310</v>
      </c>
      <c r="E912">
        <v>24</v>
      </c>
      <c r="F912">
        <v>10</v>
      </c>
      <c r="G912">
        <v>13.42150849476457</v>
      </c>
      <c r="H912" t="s">
        <v>386</v>
      </c>
      <c r="I912" t="s">
        <v>29</v>
      </c>
      <c r="J912">
        <v>0</v>
      </c>
      <c r="K912">
        <v>73</v>
      </c>
      <c r="L912" t="s">
        <v>583</v>
      </c>
      <c r="M912">
        <v>1853</v>
      </c>
      <c r="N912">
        <v>2.4736343026161189</v>
      </c>
      <c r="O912">
        <v>14.94170654192567</v>
      </c>
      <c r="P912">
        <v>4.1078374553471804</v>
      </c>
      <c r="Q912">
        <v>15.89072720333934</v>
      </c>
      <c r="R912">
        <v>1</v>
      </c>
      <c r="S912" t="s">
        <v>565</v>
      </c>
      <c r="T912">
        <v>2016</v>
      </c>
      <c r="U912" s="1">
        <v>45901.600802198707</v>
      </c>
      <c r="V912" t="s">
        <v>32</v>
      </c>
      <c r="W912" t="s">
        <v>84</v>
      </c>
      <c r="X912">
        <v>0.73619435431518876</v>
      </c>
      <c r="Y912">
        <v>0.74507273186920675</v>
      </c>
      <c r="Z912">
        <v>-3.9417065419256692</v>
      </c>
      <c r="AA912">
        <v>3.545601726929303</v>
      </c>
      <c r="AB912">
        <v>0.7257169934016785</v>
      </c>
    </row>
    <row r="913" spans="1:28" x14ac:dyDescent="0.25">
      <c r="A913">
        <v>9</v>
      </c>
      <c r="B913">
        <v>33</v>
      </c>
      <c r="C913">
        <v>11</v>
      </c>
      <c r="D913">
        <v>3343</v>
      </c>
      <c r="E913">
        <v>117</v>
      </c>
      <c r="F913">
        <v>8</v>
      </c>
      <c r="G913">
        <v>3.3975323149934411</v>
      </c>
      <c r="H913" t="s">
        <v>612</v>
      </c>
      <c r="I913" t="s">
        <v>49</v>
      </c>
      <c r="J913">
        <v>0</v>
      </c>
      <c r="K913">
        <v>60</v>
      </c>
      <c r="L913" t="s">
        <v>580</v>
      </c>
      <c r="M913">
        <v>2928</v>
      </c>
      <c r="N913">
        <v>10.120304901152849</v>
      </c>
      <c r="O913">
        <v>5.6778191821649671</v>
      </c>
      <c r="P913">
        <v>6.657483384013176</v>
      </c>
      <c r="Q913">
        <v>11.86399264261126</v>
      </c>
      <c r="R913">
        <v>4</v>
      </c>
      <c r="S913" t="s">
        <v>565</v>
      </c>
      <c r="T913">
        <v>2016</v>
      </c>
      <c r="U913" s="1">
        <v>45901.600802198707</v>
      </c>
      <c r="V913" t="s">
        <v>32</v>
      </c>
      <c r="W913" t="s">
        <v>84</v>
      </c>
      <c r="X913">
        <v>1.9373635628540169</v>
      </c>
      <c r="Y913">
        <v>2.3546501573202678</v>
      </c>
      <c r="Z913">
        <v>5.3221808178350329</v>
      </c>
      <c r="AA913">
        <v>1.8442622950819669</v>
      </c>
      <c r="AB913">
        <v>0.174523130599333</v>
      </c>
    </row>
    <row r="914" spans="1:28" x14ac:dyDescent="0.25">
      <c r="A914">
        <v>8</v>
      </c>
      <c r="B914">
        <v>35</v>
      </c>
      <c r="C914">
        <v>11</v>
      </c>
      <c r="D914">
        <v>5623</v>
      </c>
      <c r="E914">
        <v>51</v>
      </c>
      <c r="F914">
        <v>11</v>
      </c>
      <c r="G914">
        <v>5.0092024616897106</v>
      </c>
      <c r="H914" t="s">
        <v>613</v>
      </c>
      <c r="I914" t="s">
        <v>29</v>
      </c>
      <c r="J914">
        <v>1</v>
      </c>
      <c r="K914">
        <v>58</v>
      </c>
      <c r="L914" t="s">
        <v>614</v>
      </c>
      <c r="M914">
        <v>2821</v>
      </c>
      <c r="N914">
        <v>6.3959984593093404</v>
      </c>
      <c r="O914">
        <v>5.7692972458899021</v>
      </c>
      <c r="P914">
        <v>2.7220396110787992</v>
      </c>
      <c r="Q914">
        <v>11.89298760704696</v>
      </c>
      <c r="R914">
        <v>2</v>
      </c>
      <c r="S914" t="s">
        <v>565</v>
      </c>
      <c r="T914">
        <v>2016</v>
      </c>
      <c r="U914" s="1">
        <v>45901.600802198707</v>
      </c>
      <c r="V914" t="s">
        <v>32</v>
      </c>
      <c r="W914" t="s">
        <v>84</v>
      </c>
      <c r="X914">
        <v>1.906644697122599</v>
      </c>
      <c r="Y914">
        <v>2.195958355472313</v>
      </c>
      <c r="Z914">
        <v>5.2307027541100979</v>
      </c>
      <c r="AA914">
        <v>1.85040765685927</v>
      </c>
      <c r="AB914">
        <v>0.18406123790503059</v>
      </c>
    </row>
    <row r="915" spans="1:28" x14ac:dyDescent="0.25">
      <c r="A915">
        <v>1</v>
      </c>
      <c r="B915">
        <v>23</v>
      </c>
      <c r="C915">
        <v>10</v>
      </c>
      <c r="D915">
        <v>3260</v>
      </c>
      <c r="E915">
        <v>21</v>
      </c>
      <c r="F915">
        <v>10</v>
      </c>
      <c r="G915">
        <v>7.099149901419878</v>
      </c>
      <c r="H915" t="s">
        <v>615</v>
      </c>
      <c r="I915" t="s">
        <v>32</v>
      </c>
      <c r="J915">
        <v>1</v>
      </c>
      <c r="K915">
        <v>31</v>
      </c>
      <c r="L915" t="s">
        <v>616</v>
      </c>
      <c r="M915">
        <v>1998</v>
      </c>
      <c r="N915">
        <v>1.288012419827282</v>
      </c>
      <c r="O915">
        <v>7.8592469282448292</v>
      </c>
      <c r="P915">
        <v>0.92400099709630001</v>
      </c>
      <c r="Q915">
        <v>7.1444946303963661</v>
      </c>
      <c r="R915">
        <v>5</v>
      </c>
      <c r="S915" t="s">
        <v>565</v>
      </c>
      <c r="T915">
        <v>2016</v>
      </c>
      <c r="U915" s="1">
        <v>45901.600802198707</v>
      </c>
      <c r="V915" t="s">
        <v>32</v>
      </c>
      <c r="W915" t="s">
        <v>84</v>
      </c>
      <c r="X915">
        <v>1.2723865392321061</v>
      </c>
      <c r="Y915">
        <v>1.4086193613125331</v>
      </c>
      <c r="Z915">
        <v>2.1407530717551708</v>
      </c>
      <c r="AA915">
        <v>1.396396396396397</v>
      </c>
      <c r="AB915">
        <v>0.35402013190292031</v>
      </c>
    </row>
    <row r="916" spans="1:28" x14ac:dyDescent="0.25">
      <c r="A916">
        <v>3</v>
      </c>
      <c r="B916">
        <v>36</v>
      </c>
      <c r="C916">
        <v>10</v>
      </c>
      <c r="D916">
        <v>3309</v>
      </c>
      <c r="E916">
        <v>21</v>
      </c>
      <c r="F916">
        <v>10</v>
      </c>
      <c r="G916">
        <v>10.04940593801439</v>
      </c>
      <c r="H916" t="s">
        <v>588</v>
      </c>
      <c r="I916" t="s">
        <v>29</v>
      </c>
      <c r="J916">
        <v>0</v>
      </c>
      <c r="K916">
        <v>66</v>
      </c>
      <c r="L916" t="s">
        <v>602</v>
      </c>
      <c r="M916">
        <v>2238</v>
      </c>
      <c r="N916">
        <v>2.4340556897223</v>
      </c>
      <c r="O916">
        <v>10.04940593801439</v>
      </c>
      <c r="P916">
        <v>3.9619726873934269</v>
      </c>
      <c r="Q916">
        <v>14.516435524448751</v>
      </c>
      <c r="R916">
        <v>0</v>
      </c>
      <c r="S916" t="s">
        <v>565</v>
      </c>
      <c r="T916">
        <v>2016</v>
      </c>
      <c r="U916" s="1">
        <v>45901.600802198707</v>
      </c>
      <c r="V916" t="s">
        <v>32</v>
      </c>
      <c r="W916" t="s">
        <v>84</v>
      </c>
      <c r="X916">
        <v>0.99508369566130295</v>
      </c>
      <c r="Y916">
        <v>0.99508369566130295</v>
      </c>
      <c r="Z916">
        <v>-4.9405938014388077E-2</v>
      </c>
      <c r="AA916">
        <v>2.6541554959785518</v>
      </c>
      <c r="AB916">
        <v>0.4041316060863695</v>
      </c>
    </row>
    <row r="917" spans="1:28" x14ac:dyDescent="0.25">
      <c r="A917">
        <v>6</v>
      </c>
      <c r="B917">
        <v>32</v>
      </c>
      <c r="C917">
        <v>28</v>
      </c>
      <c r="D917">
        <v>3294</v>
      </c>
      <c r="E917">
        <v>38</v>
      </c>
      <c r="F917">
        <v>25</v>
      </c>
      <c r="G917">
        <v>20.51411805301905</v>
      </c>
      <c r="H917" t="s">
        <v>135</v>
      </c>
      <c r="I917" t="s">
        <v>29</v>
      </c>
      <c r="J917">
        <v>0</v>
      </c>
      <c r="K917">
        <v>106</v>
      </c>
      <c r="L917" t="s">
        <v>568</v>
      </c>
      <c r="M917">
        <v>2592</v>
      </c>
      <c r="N917">
        <v>6.4004941545426854</v>
      </c>
      <c r="O917">
        <v>24.31458006054163</v>
      </c>
      <c r="P917">
        <v>5.1913471445441246</v>
      </c>
      <c r="Q917">
        <v>29.750939875841141</v>
      </c>
      <c r="R917">
        <v>3</v>
      </c>
      <c r="S917" t="s">
        <v>565</v>
      </c>
      <c r="T917">
        <v>2017</v>
      </c>
      <c r="U917" s="1">
        <v>45901.600802198707</v>
      </c>
      <c r="V917" t="s">
        <v>32</v>
      </c>
      <c r="W917" t="s">
        <v>97</v>
      </c>
      <c r="X917">
        <v>1.151572428159644</v>
      </c>
      <c r="Y917">
        <v>1.2186729127417091</v>
      </c>
      <c r="Z917">
        <v>3.6854199394583702</v>
      </c>
      <c r="AA917">
        <v>3.6805555555555558</v>
      </c>
      <c r="AB917">
        <v>0.84425625210213984</v>
      </c>
    </row>
    <row r="918" spans="1:28" x14ac:dyDescent="0.25">
      <c r="A918">
        <v>11</v>
      </c>
      <c r="B918">
        <v>35</v>
      </c>
      <c r="C918">
        <v>22</v>
      </c>
      <c r="D918">
        <v>942</v>
      </c>
      <c r="E918">
        <v>75</v>
      </c>
      <c r="F918">
        <v>19</v>
      </c>
      <c r="G918">
        <v>14.148056656122209</v>
      </c>
      <c r="H918" t="s">
        <v>604</v>
      </c>
      <c r="I918" t="s">
        <v>49</v>
      </c>
      <c r="J918">
        <v>0</v>
      </c>
      <c r="K918">
        <v>129</v>
      </c>
      <c r="L918" t="s">
        <v>567</v>
      </c>
      <c r="M918">
        <v>2973</v>
      </c>
      <c r="N918">
        <v>13.008777819573879</v>
      </c>
      <c r="O918">
        <v>17.187834814190861</v>
      </c>
      <c r="P918">
        <v>10.166102330200371</v>
      </c>
      <c r="Q918">
        <v>29.724860561080281</v>
      </c>
      <c r="R918">
        <v>6</v>
      </c>
      <c r="S918" t="s">
        <v>565</v>
      </c>
      <c r="T918">
        <v>2017</v>
      </c>
      <c r="U918" s="1">
        <v>45901.600802198707</v>
      </c>
      <c r="V918" t="s">
        <v>32</v>
      </c>
      <c r="W918" t="s">
        <v>97</v>
      </c>
      <c r="X918">
        <v>1.2799750659597939</v>
      </c>
      <c r="Y918">
        <v>1.342940621585526</v>
      </c>
      <c r="Z918">
        <v>4.8121651858091354</v>
      </c>
      <c r="AA918">
        <v>3.9051463168516651</v>
      </c>
      <c r="AB918">
        <v>0.52031790557590918</v>
      </c>
    </row>
    <row r="919" spans="1:28" x14ac:dyDescent="0.25">
      <c r="A919">
        <v>13</v>
      </c>
      <c r="B919">
        <v>36</v>
      </c>
      <c r="C919">
        <v>19</v>
      </c>
      <c r="D919">
        <v>555</v>
      </c>
      <c r="E919">
        <v>75</v>
      </c>
      <c r="F919">
        <v>17</v>
      </c>
      <c r="G919">
        <v>11.48357917368412</v>
      </c>
      <c r="H919" t="s">
        <v>294</v>
      </c>
      <c r="I919" t="s">
        <v>35</v>
      </c>
      <c r="J919">
        <v>0</v>
      </c>
      <c r="K919">
        <v>106</v>
      </c>
      <c r="L919" t="s">
        <v>564</v>
      </c>
      <c r="M919">
        <v>2569</v>
      </c>
      <c r="N919">
        <v>7.7580028586089611</v>
      </c>
      <c r="O919">
        <v>13.00376217067242</v>
      </c>
      <c r="P919">
        <v>6.9235602226108313</v>
      </c>
      <c r="Q919">
        <v>19.44432764314115</v>
      </c>
      <c r="R919">
        <v>2</v>
      </c>
      <c r="S919" t="s">
        <v>565</v>
      </c>
      <c r="T919">
        <v>2017</v>
      </c>
      <c r="U919" s="1">
        <v>45901.600802198707</v>
      </c>
      <c r="V919" t="s">
        <v>32</v>
      </c>
      <c r="W919" t="s">
        <v>97</v>
      </c>
      <c r="X919">
        <v>1.4611156179748499</v>
      </c>
      <c r="Y919">
        <v>1.48037469354131</v>
      </c>
      <c r="Z919">
        <v>5.9962378293275833</v>
      </c>
      <c r="AA919">
        <v>3.7135072012456209</v>
      </c>
      <c r="AB919">
        <v>0.45556192890639058</v>
      </c>
    </row>
    <row r="920" spans="1:28" x14ac:dyDescent="0.25">
      <c r="A920">
        <v>13</v>
      </c>
      <c r="B920">
        <v>20</v>
      </c>
      <c r="C920">
        <v>19</v>
      </c>
      <c r="D920">
        <v>2099</v>
      </c>
      <c r="E920">
        <v>70</v>
      </c>
      <c r="F920">
        <v>15</v>
      </c>
      <c r="G920">
        <v>13.497421391308309</v>
      </c>
      <c r="H920" t="s">
        <v>199</v>
      </c>
      <c r="I920" t="s">
        <v>49</v>
      </c>
      <c r="J920">
        <v>1</v>
      </c>
      <c r="K920">
        <v>91</v>
      </c>
      <c r="L920" t="s">
        <v>568</v>
      </c>
      <c r="M920">
        <v>1797</v>
      </c>
      <c r="N920">
        <v>12.28096471168101</v>
      </c>
      <c r="O920">
        <v>16.53780734539032</v>
      </c>
      <c r="P920">
        <v>11.52316533774138</v>
      </c>
      <c r="Q920">
        <v>31.42877624928952</v>
      </c>
      <c r="R920">
        <v>4</v>
      </c>
      <c r="S920" t="s">
        <v>565</v>
      </c>
      <c r="T920">
        <v>2017</v>
      </c>
      <c r="U920" s="1">
        <v>45901.600802198707</v>
      </c>
      <c r="V920" t="s">
        <v>32</v>
      </c>
      <c r="W920" t="s">
        <v>97</v>
      </c>
      <c r="X920">
        <v>1.148882654343895</v>
      </c>
      <c r="Y920">
        <v>1.111323382824758</v>
      </c>
      <c r="Z920">
        <v>2.4621926546096802</v>
      </c>
      <c r="AA920">
        <v>4.5575959933222041</v>
      </c>
      <c r="AB920">
        <v>0.82827081863390573</v>
      </c>
    </row>
    <row r="921" spans="1:28" x14ac:dyDescent="0.25">
      <c r="A921">
        <v>4</v>
      </c>
      <c r="B921">
        <v>26</v>
      </c>
      <c r="C921">
        <v>18</v>
      </c>
      <c r="D921">
        <v>696</v>
      </c>
      <c r="E921">
        <v>16</v>
      </c>
      <c r="F921">
        <v>15</v>
      </c>
      <c r="G921">
        <v>12.244761834852399</v>
      </c>
      <c r="H921" t="s">
        <v>601</v>
      </c>
      <c r="I921" t="s">
        <v>29</v>
      </c>
      <c r="J921">
        <v>0</v>
      </c>
      <c r="K921">
        <v>70</v>
      </c>
      <c r="L921" t="s">
        <v>602</v>
      </c>
      <c r="M921">
        <v>2148</v>
      </c>
      <c r="N921">
        <v>2.011443924158812</v>
      </c>
      <c r="O921">
        <v>15.285138526000081</v>
      </c>
      <c r="P921">
        <v>2.885861137881875</v>
      </c>
      <c r="Q921">
        <v>12.21485970169306</v>
      </c>
      <c r="R921">
        <v>1</v>
      </c>
      <c r="S921" t="s">
        <v>565</v>
      </c>
      <c r="T921">
        <v>2017</v>
      </c>
      <c r="U921" s="1">
        <v>45901.600802198707</v>
      </c>
      <c r="V921" t="s">
        <v>32</v>
      </c>
      <c r="W921" t="s">
        <v>97</v>
      </c>
      <c r="X921">
        <v>1.1776144501001371</v>
      </c>
      <c r="Y921">
        <v>1.2250136182563669</v>
      </c>
      <c r="Z921">
        <v>2.714861473999918</v>
      </c>
      <c r="AA921">
        <v>2.932960893854748</v>
      </c>
      <c r="AB921">
        <v>0.64043876505586939</v>
      </c>
    </row>
    <row r="922" spans="1:28" x14ac:dyDescent="0.25">
      <c r="A922">
        <v>1</v>
      </c>
      <c r="B922">
        <v>28</v>
      </c>
      <c r="C922">
        <v>18</v>
      </c>
      <c r="D922">
        <v>1817</v>
      </c>
      <c r="E922">
        <v>32</v>
      </c>
      <c r="F922">
        <v>12</v>
      </c>
      <c r="G922">
        <v>9.5904703065752983</v>
      </c>
      <c r="H922" t="s">
        <v>605</v>
      </c>
      <c r="I922" t="s">
        <v>29</v>
      </c>
      <c r="J922">
        <v>1</v>
      </c>
      <c r="K922">
        <v>108</v>
      </c>
      <c r="L922" t="s">
        <v>583</v>
      </c>
      <c r="M922">
        <v>2289</v>
      </c>
      <c r="N922">
        <v>3.0626900047063832</v>
      </c>
      <c r="O922">
        <v>14.911137357354161</v>
      </c>
      <c r="P922">
        <v>3.6440958138555288</v>
      </c>
      <c r="Q922">
        <v>11.901695899665359</v>
      </c>
      <c r="R922">
        <v>11</v>
      </c>
      <c r="S922" t="s">
        <v>565</v>
      </c>
      <c r="T922">
        <v>2017</v>
      </c>
      <c r="U922" s="1">
        <v>45901.600802198707</v>
      </c>
      <c r="V922" t="s">
        <v>32</v>
      </c>
      <c r="W922" t="s">
        <v>97</v>
      </c>
      <c r="X922">
        <v>1.207151377431475</v>
      </c>
      <c r="Y922">
        <v>1.25124207848</v>
      </c>
      <c r="Z922">
        <v>3.0888626426458359</v>
      </c>
      <c r="AA922">
        <v>4.2463958060288336</v>
      </c>
      <c r="AB922">
        <v>0.58628325127211656</v>
      </c>
    </row>
    <row r="923" spans="1:28" x14ac:dyDescent="0.25">
      <c r="A923">
        <v>8</v>
      </c>
      <c r="B923">
        <v>30</v>
      </c>
      <c r="C923">
        <v>18</v>
      </c>
      <c r="D923">
        <v>3667</v>
      </c>
      <c r="E923">
        <v>60</v>
      </c>
      <c r="F923">
        <v>15</v>
      </c>
      <c r="G923">
        <v>8.9045897014439106</v>
      </c>
      <c r="H923" t="s">
        <v>576</v>
      </c>
      <c r="I923" t="s">
        <v>35</v>
      </c>
      <c r="J923">
        <v>0</v>
      </c>
      <c r="K923">
        <v>88</v>
      </c>
      <c r="L923" t="s">
        <v>564</v>
      </c>
      <c r="M923">
        <v>2488</v>
      </c>
      <c r="N923">
        <v>7.0368761410936713</v>
      </c>
      <c r="O923">
        <v>11.94497217051685</v>
      </c>
      <c r="P923">
        <v>7.2843089681118727</v>
      </c>
      <c r="Q923">
        <v>17.89911504089832</v>
      </c>
      <c r="R923">
        <v>8</v>
      </c>
      <c r="S923" t="s">
        <v>565</v>
      </c>
      <c r="T923">
        <v>2017</v>
      </c>
      <c r="U923" s="1">
        <v>45901.600802198707</v>
      </c>
      <c r="V923" t="s">
        <v>32</v>
      </c>
      <c r="W923" t="s">
        <v>97</v>
      </c>
      <c r="X923">
        <v>1.506910166306495</v>
      </c>
      <c r="Y923">
        <v>1.684524554519081</v>
      </c>
      <c r="Z923">
        <v>6.0550278294831514</v>
      </c>
      <c r="AA923">
        <v>3.183279742765273</v>
      </c>
      <c r="AB923">
        <v>0.43209304475342297</v>
      </c>
    </row>
    <row r="924" spans="1:28" x14ac:dyDescent="0.25">
      <c r="A924">
        <v>4</v>
      </c>
      <c r="B924">
        <v>34</v>
      </c>
      <c r="C924">
        <v>18</v>
      </c>
      <c r="D924">
        <v>5110</v>
      </c>
      <c r="E924">
        <v>29</v>
      </c>
      <c r="F924">
        <v>17</v>
      </c>
      <c r="G924">
        <v>12.73362527228892</v>
      </c>
      <c r="H924" t="s">
        <v>617</v>
      </c>
      <c r="I924" t="s">
        <v>29</v>
      </c>
      <c r="J924">
        <v>0</v>
      </c>
      <c r="K924">
        <v>98</v>
      </c>
      <c r="L924" t="s">
        <v>564</v>
      </c>
      <c r="M924">
        <v>2524</v>
      </c>
      <c r="N924">
        <v>3.5989937107078731</v>
      </c>
      <c r="O924">
        <v>13.49371925927699</v>
      </c>
      <c r="P924">
        <v>3.1409724992699921</v>
      </c>
      <c r="Q924">
        <v>15.99271332472563</v>
      </c>
      <c r="R924">
        <v>6</v>
      </c>
      <c r="S924" t="s">
        <v>565</v>
      </c>
      <c r="T924">
        <v>2017</v>
      </c>
      <c r="U924" s="1">
        <v>45901.600802198707</v>
      </c>
      <c r="V924" t="s">
        <v>32</v>
      </c>
      <c r="W924" t="s">
        <v>97</v>
      </c>
      <c r="X924">
        <v>1.333953942136815</v>
      </c>
      <c r="Y924">
        <v>1.335047925196575</v>
      </c>
      <c r="Z924">
        <v>4.5062807407230139</v>
      </c>
      <c r="AA924">
        <v>3.4944532488114111</v>
      </c>
      <c r="AB924">
        <v>0.48115480718499548</v>
      </c>
    </row>
    <row r="925" spans="1:28" x14ac:dyDescent="0.25">
      <c r="A925">
        <v>5</v>
      </c>
      <c r="B925">
        <v>37</v>
      </c>
      <c r="C925">
        <v>17</v>
      </c>
      <c r="D925">
        <v>5657</v>
      </c>
      <c r="E925">
        <v>47</v>
      </c>
      <c r="F925">
        <v>14</v>
      </c>
      <c r="G925">
        <v>13.819227178581061</v>
      </c>
      <c r="H925" t="s">
        <v>280</v>
      </c>
      <c r="I925" t="s">
        <v>35</v>
      </c>
      <c r="J925">
        <v>0</v>
      </c>
      <c r="K925">
        <v>103</v>
      </c>
      <c r="L925" t="s">
        <v>618</v>
      </c>
      <c r="M925">
        <v>3033</v>
      </c>
      <c r="N925">
        <v>5.8804555060341954</v>
      </c>
      <c r="O925">
        <v>16.099505146034058</v>
      </c>
      <c r="P925">
        <v>3.8868976095691319</v>
      </c>
      <c r="Q925">
        <v>19.96727255359292</v>
      </c>
      <c r="R925">
        <v>4</v>
      </c>
      <c r="S925" t="s">
        <v>565</v>
      </c>
      <c r="T925">
        <v>2017</v>
      </c>
      <c r="U925" s="1">
        <v>45901.600802198707</v>
      </c>
      <c r="V925" t="s">
        <v>32</v>
      </c>
      <c r="W925" t="s">
        <v>97</v>
      </c>
      <c r="X925">
        <v>1.0559330765633981</v>
      </c>
      <c r="Y925">
        <v>1.0130812540443019</v>
      </c>
      <c r="Z925">
        <v>0.90049485396593809</v>
      </c>
      <c r="AA925">
        <v>3.056379821958457</v>
      </c>
      <c r="AB925">
        <v>0.47773012302771689</v>
      </c>
    </row>
    <row r="926" spans="1:28" x14ac:dyDescent="0.25">
      <c r="A926">
        <v>5</v>
      </c>
      <c r="B926">
        <v>35</v>
      </c>
      <c r="C926">
        <v>16</v>
      </c>
      <c r="D926">
        <v>3310</v>
      </c>
      <c r="E926">
        <v>30</v>
      </c>
      <c r="F926">
        <v>15</v>
      </c>
      <c r="G926">
        <v>11.946124235168099</v>
      </c>
      <c r="H926" t="s">
        <v>386</v>
      </c>
      <c r="I926" t="s">
        <v>29</v>
      </c>
      <c r="J926">
        <v>0</v>
      </c>
      <c r="K926">
        <v>107</v>
      </c>
      <c r="L926" t="s">
        <v>583</v>
      </c>
      <c r="M926">
        <v>3045</v>
      </c>
      <c r="N926">
        <v>3.0122389681637292</v>
      </c>
      <c r="O926">
        <v>13.4663162920624</v>
      </c>
      <c r="P926">
        <v>3.2682047868147488</v>
      </c>
      <c r="Q926">
        <v>17.269137909635901</v>
      </c>
      <c r="R926">
        <v>7</v>
      </c>
      <c r="S926" t="s">
        <v>565</v>
      </c>
      <c r="T926">
        <v>2017</v>
      </c>
      <c r="U926" s="1">
        <v>45901.600802198707</v>
      </c>
      <c r="V926" t="s">
        <v>32</v>
      </c>
      <c r="W926" t="s">
        <v>97</v>
      </c>
      <c r="X926">
        <v>1.1881497250611179</v>
      </c>
      <c r="Y926">
        <v>1.2556373686322151</v>
      </c>
      <c r="Z926">
        <v>2.5336837079375978</v>
      </c>
      <c r="AA926">
        <v>3.1625615763546802</v>
      </c>
      <c r="AB926">
        <v>0.39801920075061281</v>
      </c>
    </row>
    <row r="927" spans="1:28" x14ac:dyDescent="0.25">
      <c r="A927">
        <v>1</v>
      </c>
      <c r="B927">
        <v>35</v>
      </c>
      <c r="C927">
        <v>15</v>
      </c>
      <c r="D927">
        <v>3512</v>
      </c>
      <c r="E927">
        <v>26</v>
      </c>
      <c r="F927">
        <v>15</v>
      </c>
      <c r="G927">
        <v>8.1906182263046503</v>
      </c>
      <c r="H927" t="s">
        <v>619</v>
      </c>
      <c r="I927" t="s">
        <v>35</v>
      </c>
      <c r="J927">
        <v>0</v>
      </c>
      <c r="K927">
        <v>82</v>
      </c>
      <c r="L927" t="s">
        <v>620</v>
      </c>
      <c r="M927">
        <v>2854</v>
      </c>
      <c r="N927">
        <v>1.682864527218044</v>
      </c>
      <c r="O927">
        <v>8.9507136028259993</v>
      </c>
      <c r="P927">
        <v>4.1946647213771939</v>
      </c>
      <c r="Q927">
        <v>12.090384135022759</v>
      </c>
      <c r="R927">
        <v>8</v>
      </c>
      <c r="S927" t="s">
        <v>565</v>
      </c>
      <c r="T927">
        <v>2017</v>
      </c>
      <c r="U927" s="1">
        <v>45901.600802198707</v>
      </c>
      <c r="V927" t="s">
        <v>32</v>
      </c>
      <c r="W927" t="s">
        <v>97</v>
      </c>
      <c r="X927">
        <v>1.675844034967678</v>
      </c>
      <c r="Y927">
        <v>1.8313635900922129</v>
      </c>
      <c r="Z927">
        <v>6.0492863971740007</v>
      </c>
      <c r="AA927">
        <v>2.5858444288717588</v>
      </c>
      <c r="AB927">
        <v>0.28225796224749122</v>
      </c>
    </row>
    <row r="928" spans="1:28" x14ac:dyDescent="0.25">
      <c r="A928">
        <v>4</v>
      </c>
      <c r="B928">
        <v>31</v>
      </c>
      <c r="C928">
        <v>13</v>
      </c>
      <c r="D928">
        <v>695</v>
      </c>
      <c r="E928">
        <v>26</v>
      </c>
      <c r="F928">
        <v>13</v>
      </c>
      <c r="G928">
        <v>9.1069157440215367</v>
      </c>
      <c r="H928" t="s">
        <v>621</v>
      </c>
      <c r="I928" t="s">
        <v>35</v>
      </c>
      <c r="J928">
        <v>0</v>
      </c>
      <c r="K928">
        <v>79</v>
      </c>
      <c r="L928" t="s">
        <v>564</v>
      </c>
      <c r="M928">
        <v>2293</v>
      </c>
      <c r="N928">
        <v>2.8190845930948849</v>
      </c>
      <c r="O928">
        <v>9.1069157440215367</v>
      </c>
      <c r="P928">
        <v>7.7070599365979433</v>
      </c>
      <c r="Q928">
        <v>17.783475209027529</v>
      </c>
      <c r="R928">
        <v>3</v>
      </c>
      <c r="S928" t="s">
        <v>565</v>
      </c>
      <c r="T928">
        <v>2017</v>
      </c>
      <c r="U928" s="1">
        <v>45901.600802198707</v>
      </c>
      <c r="V928" t="s">
        <v>32</v>
      </c>
      <c r="W928" t="s">
        <v>97</v>
      </c>
      <c r="X928">
        <v>1.427486578925931</v>
      </c>
      <c r="Y928">
        <v>1.427486578925931</v>
      </c>
      <c r="Z928">
        <v>3.8930842559784629</v>
      </c>
      <c r="AA928">
        <v>3.1007413868294811</v>
      </c>
      <c r="AB928">
        <v>0.35744545004881739</v>
      </c>
    </row>
    <row r="929" spans="1:28" x14ac:dyDescent="0.25">
      <c r="A929">
        <v>8</v>
      </c>
      <c r="B929">
        <v>28</v>
      </c>
      <c r="C929">
        <v>13</v>
      </c>
      <c r="D929">
        <v>3423</v>
      </c>
      <c r="E929">
        <v>52</v>
      </c>
      <c r="F929">
        <v>13</v>
      </c>
      <c r="G929">
        <v>14.31149092316628</v>
      </c>
      <c r="H929" t="s">
        <v>312</v>
      </c>
      <c r="I929" t="s">
        <v>35</v>
      </c>
      <c r="J929">
        <v>0</v>
      </c>
      <c r="K929">
        <v>79</v>
      </c>
      <c r="L929" t="s">
        <v>622</v>
      </c>
      <c r="M929">
        <v>2173</v>
      </c>
      <c r="N929">
        <v>8.7886291481554508</v>
      </c>
      <c r="O929">
        <v>14.31149092316628</v>
      </c>
      <c r="P929">
        <v>6.2819100320339203</v>
      </c>
      <c r="Q929">
        <v>26.945045048370961</v>
      </c>
      <c r="R929">
        <v>2</v>
      </c>
      <c r="S929" t="s">
        <v>565</v>
      </c>
      <c r="T929">
        <v>2017</v>
      </c>
      <c r="U929" s="1">
        <v>45901.600802198707</v>
      </c>
      <c r="V929" t="s">
        <v>32</v>
      </c>
      <c r="W929" t="s">
        <v>97</v>
      </c>
      <c r="X929">
        <v>0.90836098557395284</v>
      </c>
      <c r="Y929">
        <v>0.90836098557395284</v>
      </c>
      <c r="Z929">
        <v>-1.311490923166277</v>
      </c>
      <c r="AA929">
        <v>3.2719742291762541</v>
      </c>
      <c r="AB929">
        <v>0.59274467698341682</v>
      </c>
    </row>
    <row r="930" spans="1:28" x14ac:dyDescent="0.25">
      <c r="A930">
        <v>1</v>
      </c>
      <c r="B930">
        <v>33</v>
      </c>
      <c r="C930">
        <v>13</v>
      </c>
      <c r="D930">
        <v>4670</v>
      </c>
      <c r="E930">
        <v>17</v>
      </c>
      <c r="F930">
        <v>11</v>
      </c>
      <c r="G930">
        <v>8.6956289475783706</v>
      </c>
      <c r="H930" t="s">
        <v>623</v>
      </c>
      <c r="I930" t="s">
        <v>29</v>
      </c>
      <c r="J930">
        <v>0</v>
      </c>
      <c r="K930">
        <v>68</v>
      </c>
      <c r="L930" t="s">
        <v>624</v>
      </c>
      <c r="M930">
        <v>2494</v>
      </c>
      <c r="N930">
        <v>1.624642726965249</v>
      </c>
      <c r="O930">
        <v>10.21581897046417</v>
      </c>
      <c r="P930">
        <v>0.91431620717048645</v>
      </c>
      <c r="Q930">
        <v>9.1350442692637444</v>
      </c>
      <c r="R930">
        <v>8</v>
      </c>
      <c r="S930" t="s">
        <v>565</v>
      </c>
      <c r="T930">
        <v>2017</v>
      </c>
      <c r="U930" s="1">
        <v>45901.600802198707</v>
      </c>
      <c r="V930" t="s">
        <v>32</v>
      </c>
      <c r="W930" t="s">
        <v>97</v>
      </c>
      <c r="X930">
        <v>1.2725362535872471</v>
      </c>
      <c r="Y930">
        <v>1.2650033788600621</v>
      </c>
      <c r="Z930">
        <v>2.78418102953583</v>
      </c>
      <c r="AA930">
        <v>2.4538893344025658</v>
      </c>
      <c r="AB930">
        <v>0.36865425314425632</v>
      </c>
    </row>
    <row r="931" spans="1:28" x14ac:dyDescent="0.25">
      <c r="A931">
        <v>4</v>
      </c>
      <c r="B931">
        <v>36</v>
      </c>
      <c r="C931">
        <v>13</v>
      </c>
      <c r="D931">
        <v>5656</v>
      </c>
      <c r="E931">
        <v>40</v>
      </c>
      <c r="F931">
        <v>12</v>
      </c>
      <c r="G931">
        <v>7.2972114495933056</v>
      </c>
      <c r="H931" t="s">
        <v>137</v>
      </c>
      <c r="I931" t="s">
        <v>35</v>
      </c>
      <c r="J931">
        <v>0</v>
      </c>
      <c r="K931">
        <v>65</v>
      </c>
      <c r="L931" t="s">
        <v>595</v>
      </c>
      <c r="M931">
        <v>2846</v>
      </c>
      <c r="N931">
        <v>3.7967455517500639</v>
      </c>
      <c r="O931">
        <v>8.0573064498603344</v>
      </c>
      <c r="P931">
        <v>6.534546815790236</v>
      </c>
      <c r="Q931">
        <v>14.637685833498839</v>
      </c>
      <c r="R931">
        <v>5</v>
      </c>
      <c r="S931" t="s">
        <v>565</v>
      </c>
      <c r="T931">
        <v>2017</v>
      </c>
      <c r="U931" s="1">
        <v>45901.600802198707</v>
      </c>
      <c r="V931" t="s">
        <v>32</v>
      </c>
      <c r="W931" t="s">
        <v>97</v>
      </c>
      <c r="X931">
        <v>1.6134424178722091</v>
      </c>
      <c r="Y931">
        <v>1.644463790434467</v>
      </c>
      <c r="Z931">
        <v>4.9426935501396656</v>
      </c>
      <c r="AA931">
        <v>2.0555165144061842</v>
      </c>
      <c r="AB931">
        <v>0.25479886875875968</v>
      </c>
    </row>
    <row r="932" spans="1:28" x14ac:dyDescent="0.25">
      <c r="A932">
        <v>7</v>
      </c>
      <c r="B932">
        <v>35</v>
      </c>
      <c r="C932">
        <v>12</v>
      </c>
      <c r="D932">
        <v>3262</v>
      </c>
      <c r="E932">
        <v>87</v>
      </c>
      <c r="F932">
        <v>10</v>
      </c>
      <c r="G932">
        <v>6.4387686420232058</v>
      </c>
      <c r="H932" t="s">
        <v>625</v>
      </c>
      <c r="I932" t="s">
        <v>35</v>
      </c>
      <c r="J932">
        <v>0</v>
      </c>
      <c r="K932">
        <v>75</v>
      </c>
      <c r="L932" t="s">
        <v>574</v>
      </c>
      <c r="M932">
        <v>2881</v>
      </c>
      <c r="N932">
        <v>9.6409802287817001</v>
      </c>
      <c r="O932">
        <v>8.7190595734864473</v>
      </c>
      <c r="P932">
        <v>10.258707776665689</v>
      </c>
      <c r="Q932">
        <v>19.38125818409026</v>
      </c>
      <c r="R932">
        <v>2</v>
      </c>
      <c r="S932" t="s">
        <v>565</v>
      </c>
      <c r="T932">
        <v>2017</v>
      </c>
      <c r="U932" s="1">
        <v>45901.600802198707</v>
      </c>
      <c r="V932" t="s">
        <v>32</v>
      </c>
      <c r="W932" t="s">
        <v>97</v>
      </c>
      <c r="X932">
        <v>1.376295218407553</v>
      </c>
      <c r="Y932">
        <v>1.5530919894735919</v>
      </c>
      <c r="Z932">
        <v>3.2809404265135531</v>
      </c>
      <c r="AA932">
        <v>2.342936480388754</v>
      </c>
      <c r="AB932">
        <v>0.27237603665872279</v>
      </c>
    </row>
    <row r="933" spans="1:28" x14ac:dyDescent="0.25">
      <c r="A933">
        <v>4</v>
      </c>
      <c r="B933">
        <v>36</v>
      </c>
      <c r="C933">
        <v>12</v>
      </c>
      <c r="D933">
        <v>3406</v>
      </c>
      <c r="E933">
        <v>35</v>
      </c>
      <c r="F933">
        <v>8</v>
      </c>
      <c r="G933">
        <v>11.954124284908181</v>
      </c>
      <c r="H933" t="s">
        <v>609</v>
      </c>
      <c r="I933" t="s">
        <v>29</v>
      </c>
      <c r="J933">
        <v>1</v>
      </c>
      <c r="K933">
        <v>95</v>
      </c>
      <c r="L933" t="s">
        <v>610</v>
      </c>
      <c r="M933">
        <v>3039</v>
      </c>
      <c r="N933">
        <v>2.5469613000750542</v>
      </c>
      <c r="O933">
        <v>15.754468599334359</v>
      </c>
      <c r="P933">
        <v>2.8443685136735439</v>
      </c>
      <c r="Q933">
        <v>15.33234064653516</v>
      </c>
      <c r="R933">
        <v>3</v>
      </c>
      <c r="S933" t="s">
        <v>565</v>
      </c>
      <c r="T933">
        <v>2017</v>
      </c>
      <c r="U933" s="1">
        <v>45901.600802198707</v>
      </c>
      <c r="V933" t="s">
        <v>32</v>
      </c>
      <c r="W933" t="s">
        <v>97</v>
      </c>
      <c r="X933">
        <v>0.76168865514810258</v>
      </c>
      <c r="Y933">
        <v>0.66922509832860178</v>
      </c>
      <c r="Z933">
        <v>-3.7544685993343592</v>
      </c>
      <c r="AA933">
        <v>2.8134254689042448</v>
      </c>
      <c r="AB933">
        <v>0.46656866533073132</v>
      </c>
    </row>
    <row r="934" spans="1:28" x14ac:dyDescent="0.25">
      <c r="A934">
        <v>2</v>
      </c>
      <c r="B934">
        <v>26</v>
      </c>
      <c r="C934">
        <v>12</v>
      </c>
      <c r="D934">
        <v>5622</v>
      </c>
      <c r="E934">
        <v>27</v>
      </c>
      <c r="F934">
        <v>9</v>
      </c>
      <c r="G934">
        <v>7.2862444706261158</v>
      </c>
      <c r="H934" t="s">
        <v>626</v>
      </c>
      <c r="I934" t="s">
        <v>29</v>
      </c>
      <c r="J934">
        <v>0</v>
      </c>
      <c r="K934">
        <v>52</v>
      </c>
      <c r="L934" t="s">
        <v>614</v>
      </c>
      <c r="M934">
        <v>2053</v>
      </c>
      <c r="N934">
        <v>1.7222123318351801</v>
      </c>
      <c r="O934">
        <v>9.5665265060961246</v>
      </c>
      <c r="P934">
        <v>2.5529824011027809</v>
      </c>
      <c r="Q934">
        <v>10.826593929901721</v>
      </c>
      <c r="R934">
        <v>3</v>
      </c>
      <c r="S934" t="s">
        <v>565</v>
      </c>
      <c r="T934">
        <v>2017</v>
      </c>
      <c r="U934" s="1">
        <v>45901.600802198707</v>
      </c>
      <c r="V934" t="s">
        <v>32</v>
      </c>
      <c r="W934" t="s">
        <v>97</v>
      </c>
      <c r="X934">
        <v>1.2543737784401869</v>
      </c>
      <c r="Y934">
        <v>1.235204231244607</v>
      </c>
      <c r="Z934">
        <v>2.4334734939038749</v>
      </c>
      <c r="AA934">
        <v>2.2795908426692639</v>
      </c>
      <c r="AB934">
        <v>0.41938011960479848</v>
      </c>
    </row>
    <row r="935" spans="1:28" x14ac:dyDescent="0.25">
      <c r="A935">
        <v>2</v>
      </c>
      <c r="B935">
        <v>37</v>
      </c>
      <c r="C935">
        <v>11</v>
      </c>
      <c r="D935">
        <v>3477</v>
      </c>
      <c r="E935">
        <v>28</v>
      </c>
      <c r="F935">
        <v>8</v>
      </c>
      <c r="G935">
        <v>7.7044234229251742</v>
      </c>
      <c r="H935" t="s">
        <v>611</v>
      </c>
      <c r="I935" t="s">
        <v>35</v>
      </c>
      <c r="J935">
        <v>0</v>
      </c>
      <c r="K935">
        <v>73</v>
      </c>
      <c r="L935" t="s">
        <v>572</v>
      </c>
      <c r="M935">
        <v>3215</v>
      </c>
      <c r="N935">
        <v>2.2289986051619048</v>
      </c>
      <c r="O935">
        <v>10.744803111068901</v>
      </c>
      <c r="P935">
        <v>2.713808331638575</v>
      </c>
      <c r="Q935">
        <v>11.076998696662489</v>
      </c>
      <c r="R935">
        <v>4</v>
      </c>
      <c r="S935" t="s">
        <v>565</v>
      </c>
      <c r="T935">
        <v>2017</v>
      </c>
      <c r="U935" s="1">
        <v>45901.600802198707</v>
      </c>
      <c r="V935" t="s">
        <v>32</v>
      </c>
      <c r="W935" t="s">
        <v>97</v>
      </c>
      <c r="X935">
        <v>1.0237507273323789</v>
      </c>
      <c r="Y935">
        <v>1.038364529160652</v>
      </c>
      <c r="Z935">
        <v>0.2551968889310956</v>
      </c>
      <c r="AA935">
        <v>2.043545878693624</v>
      </c>
      <c r="AB935">
        <v>0.30078764541094921</v>
      </c>
    </row>
    <row r="936" spans="1:28" x14ac:dyDescent="0.25">
      <c r="A936">
        <v>6</v>
      </c>
      <c r="B936">
        <v>30</v>
      </c>
      <c r="C936">
        <v>11</v>
      </c>
      <c r="D936">
        <v>3553</v>
      </c>
      <c r="E936">
        <v>52</v>
      </c>
      <c r="F936">
        <v>11</v>
      </c>
      <c r="G936">
        <v>12.921923996880651</v>
      </c>
      <c r="H936" t="s">
        <v>599</v>
      </c>
      <c r="I936" t="s">
        <v>29</v>
      </c>
      <c r="J936">
        <v>0</v>
      </c>
      <c r="K936">
        <v>98</v>
      </c>
      <c r="L936" t="s">
        <v>568</v>
      </c>
      <c r="M936">
        <v>2134</v>
      </c>
      <c r="N936">
        <v>7.6645180396735668</v>
      </c>
      <c r="O936">
        <v>12.921923996880651</v>
      </c>
      <c r="P936">
        <v>7.706768061965704</v>
      </c>
      <c r="Q936">
        <v>25.634030304849151</v>
      </c>
      <c r="R936">
        <v>1</v>
      </c>
      <c r="S936" t="s">
        <v>565</v>
      </c>
      <c r="T936">
        <v>2017</v>
      </c>
      <c r="U936" s="1">
        <v>45901.600802198707</v>
      </c>
      <c r="V936" t="s">
        <v>32</v>
      </c>
      <c r="W936" t="s">
        <v>97</v>
      </c>
      <c r="X936">
        <v>0.85126642152170195</v>
      </c>
      <c r="Y936">
        <v>0.85126642152170195</v>
      </c>
      <c r="Z936">
        <v>-1.921923996880651</v>
      </c>
      <c r="AA936">
        <v>4.133083411433927</v>
      </c>
      <c r="AB936">
        <v>0.54497336444201427</v>
      </c>
    </row>
    <row r="937" spans="1:28" x14ac:dyDescent="0.25">
      <c r="A937">
        <v>3</v>
      </c>
      <c r="B937">
        <v>34</v>
      </c>
      <c r="C937">
        <v>11</v>
      </c>
      <c r="D937">
        <v>5625</v>
      </c>
      <c r="E937">
        <v>34</v>
      </c>
      <c r="F937">
        <v>11</v>
      </c>
      <c r="G937">
        <v>6.593941193073988</v>
      </c>
      <c r="H937" t="s">
        <v>627</v>
      </c>
      <c r="I937" t="s">
        <v>35</v>
      </c>
      <c r="J937">
        <v>0</v>
      </c>
      <c r="K937">
        <v>67</v>
      </c>
      <c r="L937" t="s">
        <v>614</v>
      </c>
      <c r="M937">
        <v>2147</v>
      </c>
      <c r="N937">
        <v>2.5274927094578739</v>
      </c>
      <c r="O937">
        <v>6.593941193073988</v>
      </c>
      <c r="P937">
        <v>1.869608021341264</v>
      </c>
      <c r="Q937">
        <v>9.1887664869427681</v>
      </c>
      <c r="R937">
        <v>3</v>
      </c>
      <c r="S937" t="s">
        <v>565</v>
      </c>
      <c r="T937">
        <v>2017</v>
      </c>
      <c r="U937" s="1">
        <v>45901.600802198707</v>
      </c>
      <c r="V937" t="s">
        <v>32</v>
      </c>
      <c r="W937" t="s">
        <v>97</v>
      </c>
      <c r="X937">
        <v>1.668198074249428</v>
      </c>
      <c r="Y937">
        <v>1.668198074249428</v>
      </c>
      <c r="Z937">
        <v>4.406058806926012</v>
      </c>
      <c r="AA937">
        <v>2.8085700978108989</v>
      </c>
      <c r="AB937">
        <v>0.27641113524762873</v>
      </c>
    </row>
    <row r="938" spans="1:28" x14ac:dyDescent="0.25">
      <c r="A938">
        <v>1</v>
      </c>
      <c r="B938">
        <v>32</v>
      </c>
      <c r="C938">
        <v>11</v>
      </c>
      <c r="D938">
        <v>5701</v>
      </c>
      <c r="E938">
        <v>26</v>
      </c>
      <c r="F938">
        <v>6</v>
      </c>
      <c r="G938">
        <v>9.8285863241180778</v>
      </c>
      <c r="H938" t="s">
        <v>606</v>
      </c>
      <c r="I938" t="s">
        <v>29</v>
      </c>
      <c r="J938">
        <v>0</v>
      </c>
      <c r="K938">
        <v>85</v>
      </c>
      <c r="L938" t="s">
        <v>593</v>
      </c>
      <c r="M938">
        <v>2776</v>
      </c>
      <c r="N938">
        <v>1.2897460116073489</v>
      </c>
      <c r="O938">
        <v>14.38914775196463</v>
      </c>
      <c r="P938">
        <v>2.0237019034102559</v>
      </c>
      <c r="Q938">
        <v>10.36097201053053</v>
      </c>
      <c r="R938">
        <v>3</v>
      </c>
      <c r="S938" t="s">
        <v>565</v>
      </c>
      <c r="T938">
        <v>2017</v>
      </c>
      <c r="U938" s="1">
        <v>45901.600802198707</v>
      </c>
      <c r="V938" t="s">
        <v>32</v>
      </c>
      <c r="W938" t="s">
        <v>97</v>
      </c>
      <c r="X938">
        <v>0.76446501138318701</v>
      </c>
      <c r="Y938">
        <v>0.61046419109905736</v>
      </c>
      <c r="Z938">
        <v>-3.3891477519646291</v>
      </c>
      <c r="AA938">
        <v>2.755763688760807</v>
      </c>
      <c r="AB938">
        <v>0.46650695161268613</v>
      </c>
    </row>
    <row r="939" spans="1:28" x14ac:dyDescent="0.25">
      <c r="A939">
        <v>3</v>
      </c>
      <c r="B939">
        <v>33</v>
      </c>
      <c r="C939">
        <v>10</v>
      </c>
      <c r="D939">
        <v>3228</v>
      </c>
      <c r="E939">
        <v>22</v>
      </c>
      <c r="F939">
        <v>10</v>
      </c>
      <c r="G939">
        <v>10.8957796394825</v>
      </c>
      <c r="H939" t="s">
        <v>628</v>
      </c>
      <c r="I939" t="s">
        <v>29</v>
      </c>
      <c r="J939">
        <v>1</v>
      </c>
      <c r="K939">
        <v>84</v>
      </c>
      <c r="L939" t="s">
        <v>580</v>
      </c>
      <c r="M939">
        <v>2219</v>
      </c>
      <c r="N939">
        <v>3.4176993183791642</v>
      </c>
      <c r="O939">
        <v>11.655874669551849</v>
      </c>
      <c r="P939">
        <v>1.213220657780766</v>
      </c>
      <c r="Q939">
        <v>13.499281255528331</v>
      </c>
      <c r="R939">
        <v>5</v>
      </c>
      <c r="S939" t="s">
        <v>565</v>
      </c>
      <c r="T939">
        <v>2017</v>
      </c>
      <c r="U939" s="1">
        <v>45901.600802198707</v>
      </c>
      <c r="V939" t="s">
        <v>32</v>
      </c>
      <c r="W939" t="s">
        <v>97</v>
      </c>
      <c r="X939">
        <v>0.85793647268038831</v>
      </c>
      <c r="Y939">
        <v>0.91778654955203887</v>
      </c>
      <c r="Z939">
        <v>-1.6558746695518489</v>
      </c>
      <c r="AA939">
        <v>3.4069400630914828</v>
      </c>
      <c r="AB939">
        <v>0.47274840931034989</v>
      </c>
    </row>
    <row r="940" spans="1:28" x14ac:dyDescent="0.25">
      <c r="A940">
        <v>7</v>
      </c>
      <c r="B940">
        <v>37</v>
      </c>
      <c r="C940">
        <v>10</v>
      </c>
      <c r="D940">
        <v>4773</v>
      </c>
      <c r="E940">
        <v>95</v>
      </c>
      <c r="F940">
        <v>7</v>
      </c>
      <c r="G940">
        <v>6.2039947081357241</v>
      </c>
      <c r="H940" t="s">
        <v>629</v>
      </c>
      <c r="I940" t="s">
        <v>35</v>
      </c>
      <c r="J940">
        <v>0</v>
      </c>
      <c r="K940">
        <v>66</v>
      </c>
      <c r="L940" t="s">
        <v>591</v>
      </c>
      <c r="M940">
        <v>3111</v>
      </c>
      <c r="N940">
        <v>7.6288589127361766</v>
      </c>
      <c r="O940">
        <v>8.4842151217162609</v>
      </c>
      <c r="P940">
        <v>5.9447955153882504</v>
      </c>
      <c r="Q940">
        <v>12.490284023806449</v>
      </c>
      <c r="R940">
        <v>3</v>
      </c>
      <c r="S940" t="s">
        <v>565</v>
      </c>
      <c r="T940">
        <v>2017</v>
      </c>
      <c r="U940" s="1">
        <v>45901.600802198707</v>
      </c>
      <c r="V940" t="s">
        <v>32</v>
      </c>
      <c r="W940" t="s">
        <v>97</v>
      </c>
      <c r="X940">
        <v>1.178659411216946</v>
      </c>
      <c r="Y940">
        <v>1.128305282211221</v>
      </c>
      <c r="Z940">
        <v>1.5157848782837391</v>
      </c>
      <c r="AA940">
        <v>1.9093539054966251</v>
      </c>
      <c r="AB940">
        <v>0.245444989056401</v>
      </c>
    </row>
    <row r="941" spans="1:28" x14ac:dyDescent="0.25">
      <c r="A941">
        <v>7</v>
      </c>
      <c r="B941">
        <v>29</v>
      </c>
      <c r="C941">
        <v>33</v>
      </c>
      <c r="D941">
        <v>3423</v>
      </c>
      <c r="E941">
        <v>47</v>
      </c>
      <c r="F941">
        <v>32</v>
      </c>
      <c r="G941">
        <v>28.335215196013451</v>
      </c>
      <c r="H941" t="s">
        <v>312</v>
      </c>
      <c r="I941" t="s">
        <v>35</v>
      </c>
      <c r="J941">
        <v>1</v>
      </c>
      <c r="K941">
        <v>125</v>
      </c>
      <c r="L941" t="s">
        <v>568</v>
      </c>
      <c r="M941">
        <v>2334</v>
      </c>
      <c r="N941">
        <v>6.0426369495689869</v>
      </c>
      <c r="O941">
        <v>29.855400189757351</v>
      </c>
      <c r="P941">
        <v>8.3436470329761505</v>
      </c>
      <c r="Q941">
        <v>38.67278690636158</v>
      </c>
      <c r="R941">
        <v>5</v>
      </c>
      <c r="S941" t="s">
        <v>565</v>
      </c>
      <c r="T941">
        <v>2018</v>
      </c>
      <c r="U941" s="1">
        <v>45901.600802198707</v>
      </c>
      <c r="V941" t="s">
        <v>32</v>
      </c>
      <c r="W941" t="s">
        <v>107</v>
      </c>
      <c r="X941">
        <v>1.105327672389449</v>
      </c>
      <c r="Y941">
        <v>1.1293367556461029</v>
      </c>
      <c r="Z941">
        <v>3.1445998102426529</v>
      </c>
      <c r="AA941">
        <v>4.8200514138817478</v>
      </c>
      <c r="AB941">
        <v>1.1512365111731619</v>
      </c>
    </row>
    <row r="942" spans="1:28" x14ac:dyDescent="0.25">
      <c r="A942">
        <v>11</v>
      </c>
      <c r="B942">
        <v>38</v>
      </c>
      <c r="C942">
        <v>22</v>
      </c>
      <c r="D942">
        <v>5656</v>
      </c>
      <c r="E942">
        <v>70</v>
      </c>
      <c r="F942">
        <v>13</v>
      </c>
      <c r="G942">
        <v>13.631401808001099</v>
      </c>
      <c r="H942" t="s">
        <v>137</v>
      </c>
      <c r="I942" t="s">
        <v>35</v>
      </c>
      <c r="J942">
        <v>0</v>
      </c>
      <c r="K942">
        <v>118</v>
      </c>
      <c r="L942" t="s">
        <v>595</v>
      </c>
      <c r="M942">
        <v>3333</v>
      </c>
      <c r="N942">
        <v>10.378349684178829</v>
      </c>
      <c r="O942">
        <v>21.232027408666909</v>
      </c>
      <c r="P942">
        <v>7.5366726191714406</v>
      </c>
      <c r="Q942">
        <v>25.910623433999721</v>
      </c>
      <c r="R942">
        <v>1</v>
      </c>
      <c r="S942" t="s">
        <v>565</v>
      </c>
      <c r="T942">
        <v>2018</v>
      </c>
      <c r="U942" s="1">
        <v>45901.600802198707</v>
      </c>
      <c r="V942" t="s">
        <v>32</v>
      </c>
      <c r="W942" t="s">
        <v>107</v>
      </c>
      <c r="X942">
        <v>1.0361704785205581</v>
      </c>
      <c r="Y942">
        <v>0.95368034653409661</v>
      </c>
      <c r="Z942">
        <v>0.76797259133309126</v>
      </c>
      <c r="AA942">
        <v>3.1863186318631862</v>
      </c>
      <c r="AB942">
        <v>0.57332207224123066</v>
      </c>
    </row>
    <row r="943" spans="1:28" x14ac:dyDescent="0.25">
      <c r="A943">
        <v>5</v>
      </c>
      <c r="B943">
        <v>21</v>
      </c>
      <c r="C943">
        <v>18</v>
      </c>
      <c r="D943">
        <v>3294</v>
      </c>
      <c r="E943">
        <v>13</v>
      </c>
      <c r="F943">
        <v>14</v>
      </c>
      <c r="G943">
        <v>11.644862726330761</v>
      </c>
      <c r="H943" t="s">
        <v>135</v>
      </c>
      <c r="I943" t="s">
        <v>29</v>
      </c>
      <c r="J943">
        <v>0</v>
      </c>
      <c r="K943">
        <v>52</v>
      </c>
      <c r="L943" t="s">
        <v>568</v>
      </c>
      <c r="M943">
        <v>1677</v>
      </c>
      <c r="N943">
        <v>3.6999036017805338</v>
      </c>
      <c r="O943">
        <v>15.445338845252991</v>
      </c>
      <c r="P943">
        <v>3.887315653264523</v>
      </c>
      <c r="Q943">
        <v>17.841729037463669</v>
      </c>
      <c r="R943">
        <v>1</v>
      </c>
      <c r="S943" t="s">
        <v>565</v>
      </c>
      <c r="T943">
        <v>2018</v>
      </c>
      <c r="U943" s="1">
        <v>45901.600802198707</v>
      </c>
      <c r="V943" t="s">
        <v>32</v>
      </c>
      <c r="W943" t="s">
        <v>107</v>
      </c>
      <c r="X943">
        <v>1.1654001365941</v>
      </c>
      <c r="Y943">
        <v>1.2022468902397561</v>
      </c>
      <c r="Z943">
        <v>2.5546611547470088</v>
      </c>
      <c r="AA943">
        <v>2.7906976744186052</v>
      </c>
      <c r="AB943">
        <v>0.82890906146259336</v>
      </c>
    </row>
    <row r="944" spans="1:28" x14ac:dyDescent="0.25">
      <c r="A944">
        <v>8</v>
      </c>
      <c r="B944">
        <v>33</v>
      </c>
      <c r="C944">
        <v>16</v>
      </c>
      <c r="D944">
        <v>942</v>
      </c>
      <c r="E944">
        <v>47</v>
      </c>
      <c r="F944">
        <v>14</v>
      </c>
      <c r="G944">
        <v>10.5930696092546</v>
      </c>
      <c r="H944" t="s">
        <v>604</v>
      </c>
      <c r="I944" t="s">
        <v>35</v>
      </c>
      <c r="J944">
        <v>1</v>
      </c>
      <c r="K944">
        <v>100</v>
      </c>
      <c r="L944" t="s">
        <v>567</v>
      </c>
      <c r="M944">
        <v>2640</v>
      </c>
      <c r="N944">
        <v>5.5186209566891193</v>
      </c>
      <c r="O944">
        <v>12.113255795091391</v>
      </c>
      <c r="P944">
        <v>6.6399171091616154</v>
      </c>
      <c r="Q944">
        <v>16.527022756636139</v>
      </c>
      <c r="R944">
        <v>5</v>
      </c>
      <c r="S944" t="s">
        <v>565</v>
      </c>
      <c r="T944">
        <v>2018</v>
      </c>
      <c r="U944" s="1">
        <v>45901.600802198707</v>
      </c>
      <c r="V944" t="s">
        <v>32</v>
      </c>
      <c r="W944" t="s">
        <v>107</v>
      </c>
      <c r="X944">
        <v>1.3208670130192099</v>
      </c>
      <c r="Y944">
        <v>1.3216188051637969</v>
      </c>
      <c r="Z944">
        <v>3.8867442049086089</v>
      </c>
      <c r="AA944">
        <v>3.4090909090909092</v>
      </c>
      <c r="AB944">
        <v>0.41295190210538829</v>
      </c>
    </row>
    <row r="945" spans="1:28" x14ac:dyDescent="0.25">
      <c r="A945">
        <v>2</v>
      </c>
      <c r="B945">
        <v>33</v>
      </c>
      <c r="C945">
        <v>15</v>
      </c>
      <c r="D945">
        <v>696</v>
      </c>
      <c r="E945">
        <v>18</v>
      </c>
      <c r="F945">
        <v>12</v>
      </c>
      <c r="G945">
        <v>12.006235005799679</v>
      </c>
      <c r="H945" t="s">
        <v>601</v>
      </c>
      <c r="I945" t="s">
        <v>29</v>
      </c>
      <c r="J945">
        <v>0</v>
      </c>
      <c r="K945">
        <v>94</v>
      </c>
      <c r="L945" t="s">
        <v>602</v>
      </c>
      <c r="M945">
        <v>2570</v>
      </c>
      <c r="N945">
        <v>2.0081374887377019</v>
      </c>
      <c r="O945">
        <v>15.046608971897509</v>
      </c>
      <c r="P945">
        <v>3.7069505825638771</v>
      </c>
      <c r="Q945">
        <v>14.69210039684549</v>
      </c>
      <c r="R945">
        <v>10</v>
      </c>
      <c r="S945" t="s">
        <v>565</v>
      </c>
      <c r="T945">
        <v>2018</v>
      </c>
      <c r="U945" s="1">
        <v>45901.600802198707</v>
      </c>
      <c r="V945" t="s">
        <v>32</v>
      </c>
      <c r="W945" t="s">
        <v>107</v>
      </c>
      <c r="X945">
        <v>0.99690236039332425</v>
      </c>
      <c r="Y945">
        <v>0.99948068601050477</v>
      </c>
      <c r="Z945">
        <v>-4.6608971897512667E-2</v>
      </c>
      <c r="AA945">
        <v>3.2918287937743189</v>
      </c>
      <c r="AB945">
        <v>0.52692404959952377</v>
      </c>
    </row>
    <row r="946" spans="1:28" x14ac:dyDescent="0.25">
      <c r="A946">
        <v>7</v>
      </c>
      <c r="B946">
        <v>17</v>
      </c>
      <c r="C946">
        <v>15</v>
      </c>
      <c r="D946">
        <v>2099</v>
      </c>
      <c r="E946">
        <v>43</v>
      </c>
      <c r="F946">
        <v>10</v>
      </c>
      <c r="G946">
        <v>8.0954099111258984</v>
      </c>
      <c r="H946" t="s">
        <v>199</v>
      </c>
      <c r="I946" t="s">
        <v>35</v>
      </c>
      <c r="J946">
        <v>0</v>
      </c>
      <c r="K946">
        <v>55</v>
      </c>
      <c r="L946" t="s">
        <v>568</v>
      </c>
      <c r="M946">
        <v>1443</v>
      </c>
      <c r="N946">
        <v>7.7846764922142029</v>
      </c>
      <c r="O946">
        <v>11.89575499296188</v>
      </c>
      <c r="P946">
        <v>6.6174109689891338</v>
      </c>
      <c r="Q946">
        <v>18.165208697319031</v>
      </c>
      <c r="R946">
        <v>2</v>
      </c>
      <c r="S946" t="s">
        <v>565</v>
      </c>
      <c r="T946">
        <v>2018</v>
      </c>
      <c r="U946" s="1">
        <v>45901.600802198707</v>
      </c>
      <c r="V946" t="s">
        <v>32</v>
      </c>
      <c r="W946" t="s">
        <v>107</v>
      </c>
      <c r="X946">
        <v>1.260954013332886</v>
      </c>
      <c r="Y946">
        <v>1.2352678999313591</v>
      </c>
      <c r="Z946">
        <v>3.104245007038116</v>
      </c>
      <c r="AA946">
        <v>3.43035343035343</v>
      </c>
      <c r="AB946">
        <v>0.74193898085001353</v>
      </c>
    </row>
    <row r="947" spans="1:28" x14ac:dyDescent="0.25">
      <c r="A947">
        <v>4</v>
      </c>
      <c r="B947">
        <v>33</v>
      </c>
      <c r="C947">
        <v>15</v>
      </c>
      <c r="D947">
        <v>7142</v>
      </c>
      <c r="E947">
        <v>30</v>
      </c>
      <c r="F947">
        <v>14</v>
      </c>
      <c r="G947">
        <v>14.636255361139771</v>
      </c>
      <c r="H947" t="s">
        <v>630</v>
      </c>
      <c r="I947" t="s">
        <v>29</v>
      </c>
      <c r="J947">
        <v>0</v>
      </c>
      <c r="K947">
        <v>90</v>
      </c>
      <c r="L947" t="s">
        <v>564</v>
      </c>
      <c r="M947">
        <v>2011</v>
      </c>
      <c r="N947">
        <v>2.9272396843880411</v>
      </c>
      <c r="O947">
        <v>16.156377412378792</v>
      </c>
      <c r="P947">
        <v>4.067038269713521</v>
      </c>
      <c r="Q947">
        <v>18.79045590758324</v>
      </c>
      <c r="R947">
        <v>1</v>
      </c>
      <c r="S947" t="s">
        <v>565</v>
      </c>
      <c r="T947">
        <v>2018</v>
      </c>
      <c r="U947" s="1">
        <v>45901.600802198707</v>
      </c>
      <c r="V947" t="s">
        <v>32</v>
      </c>
      <c r="W947" t="s">
        <v>107</v>
      </c>
      <c r="X947">
        <v>0.92842594705092818</v>
      </c>
      <c r="Y947">
        <v>0.95652881523035771</v>
      </c>
      <c r="Z947">
        <v>-1.156377412378788</v>
      </c>
      <c r="AA947">
        <v>4.0278468423669818</v>
      </c>
      <c r="AB947">
        <v>0.72306015271710145</v>
      </c>
    </row>
    <row r="948" spans="1:28" x14ac:dyDescent="0.25">
      <c r="A948">
        <v>7</v>
      </c>
      <c r="B948">
        <v>36</v>
      </c>
      <c r="C948">
        <v>14</v>
      </c>
      <c r="D948">
        <v>3530</v>
      </c>
      <c r="E948">
        <v>56</v>
      </c>
      <c r="F948">
        <v>11</v>
      </c>
      <c r="G948">
        <v>11.839979166164991</v>
      </c>
      <c r="H948" t="s">
        <v>592</v>
      </c>
      <c r="I948" t="s">
        <v>32</v>
      </c>
      <c r="J948">
        <v>0</v>
      </c>
      <c r="K948">
        <v>118</v>
      </c>
      <c r="L948" t="s">
        <v>580</v>
      </c>
      <c r="M948">
        <v>3160</v>
      </c>
      <c r="N948">
        <v>7.160257738083601</v>
      </c>
      <c r="O948">
        <v>14.1201331410557</v>
      </c>
      <c r="P948">
        <v>3.0329230893403292</v>
      </c>
      <c r="Q948">
        <v>17.370519038289789</v>
      </c>
      <c r="R948">
        <v>4</v>
      </c>
      <c r="S948" t="s">
        <v>565</v>
      </c>
      <c r="T948">
        <v>2018</v>
      </c>
      <c r="U948" s="1">
        <v>45901.600802198707</v>
      </c>
      <c r="V948" t="s">
        <v>32</v>
      </c>
      <c r="W948" t="s">
        <v>107</v>
      </c>
      <c r="X948">
        <v>0.99149206740080909</v>
      </c>
      <c r="Y948">
        <v>0.92905568883386258</v>
      </c>
      <c r="Z948">
        <v>-0.1201331410557032</v>
      </c>
      <c r="AA948">
        <v>3.3607594936708858</v>
      </c>
      <c r="AB948">
        <v>0.40215569072627</v>
      </c>
    </row>
    <row r="949" spans="1:28" x14ac:dyDescent="0.25">
      <c r="A949">
        <v>6</v>
      </c>
      <c r="B949">
        <v>32</v>
      </c>
      <c r="C949">
        <v>13</v>
      </c>
      <c r="D949">
        <v>734</v>
      </c>
      <c r="E949">
        <v>69</v>
      </c>
      <c r="F949">
        <v>9</v>
      </c>
      <c r="G949">
        <v>8.5634992048144341</v>
      </c>
      <c r="H949" t="s">
        <v>631</v>
      </c>
      <c r="I949" t="s">
        <v>49</v>
      </c>
      <c r="J949">
        <v>1</v>
      </c>
      <c r="K949">
        <v>94</v>
      </c>
      <c r="L949" t="s">
        <v>570</v>
      </c>
      <c r="M949">
        <v>2833</v>
      </c>
      <c r="N949">
        <v>6.1860664933919907</v>
      </c>
      <c r="O949">
        <v>11.603885814547541</v>
      </c>
      <c r="P949">
        <v>4.9818694274872541</v>
      </c>
      <c r="Q949">
        <v>15.514618135988711</v>
      </c>
      <c r="R949">
        <v>10</v>
      </c>
      <c r="S949" t="s">
        <v>565</v>
      </c>
      <c r="T949">
        <v>2018</v>
      </c>
      <c r="U949" s="1">
        <v>45901.600802198707</v>
      </c>
      <c r="V949" t="s">
        <v>32</v>
      </c>
      <c r="W949" t="s">
        <v>107</v>
      </c>
      <c r="X949">
        <v>1.1203143677699909</v>
      </c>
      <c r="Y949">
        <v>1.050972246828745</v>
      </c>
      <c r="Z949">
        <v>1.396114185452459</v>
      </c>
      <c r="AA949">
        <v>2.9862336745499469</v>
      </c>
      <c r="AB949">
        <v>0.36863738909610971</v>
      </c>
    </row>
    <row r="950" spans="1:28" x14ac:dyDescent="0.25">
      <c r="A950">
        <v>3</v>
      </c>
      <c r="B950">
        <v>38</v>
      </c>
      <c r="C950">
        <v>13</v>
      </c>
      <c r="D950">
        <v>3749</v>
      </c>
      <c r="E950">
        <v>42</v>
      </c>
      <c r="F950">
        <v>12</v>
      </c>
      <c r="G950">
        <v>7.4604868311434984</v>
      </c>
      <c r="H950" t="s">
        <v>632</v>
      </c>
      <c r="I950" t="s">
        <v>35</v>
      </c>
      <c r="J950">
        <v>0</v>
      </c>
      <c r="K950">
        <v>67</v>
      </c>
      <c r="L950" t="s">
        <v>595</v>
      </c>
      <c r="M950">
        <v>3022</v>
      </c>
      <c r="N950">
        <v>5.5418274775147438</v>
      </c>
      <c r="O950">
        <v>8.2205828446894884</v>
      </c>
      <c r="P950">
        <v>6.8601992893964052</v>
      </c>
      <c r="Q950">
        <v>18.65718686953187</v>
      </c>
      <c r="R950">
        <v>4</v>
      </c>
      <c r="S950" t="s">
        <v>565</v>
      </c>
      <c r="T950">
        <v>2018</v>
      </c>
      <c r="U950" s="1">
        <v>45901.600802198707</v>
      </c>
      <c r="V950" t="s">
        <v>32</v>
      </c>
      <c r="W950" t="s">
        <v>107</v>
      </c>
      <c r="X950">
        <v>1.5813963858290201</v>
      </c>
      <c r="Y950">
        <v>1.608474121274029</v>
      </c>
      <c r="Z950">
        <v>4.7794171553105116</v>
      </c>
      <c r="AA950">
        <v>1.99536730641959</v>
      </c>
      <c r="AB950">
        <v>0.2448221231045844</v>
      </c>
    </row>
    <row r="951" spans="1:28" x14ac:dyDescent="0.25">
      <c r="A951">
        <v>2</v>
      </c>
      <c r="B951">
        <v>19</v>
      </c>
      <c r="C951">
        <v>12</v>
      </c>
      <c r="D951">
        <v>3406</v>
      </c>
      <c r="E951">
        <v>23</v>
      </c>
      <c r="F951">
        <v>10</v>
      </c>
      <c r="G951">
        <v>5.2846625177189708</v>
      </c>
      <c r="H951" t="s">
        <v>609</v>
      </c>
      <c r="I951" t="s">
        <v>29</v>
      </c>
      <c r="J951">
        <v>0</v>
      </c>
      <c r="K951">
        <v>36</v>
      </c>
      <c r="L951" t="s">
        <v>610</v>
      </c>
      <c r="M951">
        <v>1381</v>
      </c>
      <c r="N951">
        <v>1.535205896943808</v>
      </c>
      <c r="O951">
        <v>6.8048545448109508</v>
      </c>
      <c r="P951">
        <v>1.4318777248263359</v>
      </c>
      <c r="Q951">
        <v>7.1754982238635421</v>
      </c>
      <c r="R951">
        <v>0</v>
      </c>
      <c r="S951" t="s">
        <v>565</v>
      </c>
      <c r="T951">
        <v>2018</v>
      </c>
      <c r="U951" s="1">
        <v>45901.600802198707</v>
      </c>
      <c r="V951" t="s">
        <v>32</v>
      </c>
      <c r="W951" t="s">
        <v>107</v>
      </c>
      <c r="X951">
        <v>1.763446951140287</v>
      </c>
      <c r="Y951">
        <v>1.892268421393221</v>
      </c>
      <c r="Z951">
        <v>5.1951454551890492</v>
      </c>
      <c r="AA951">
        <v>2.346125995655322</v>
      </c>
      <c r="AB951">
        <v>0.44347350400650659</v>
      </c>
    </row>
    <row r="952" spans="1:28" x14ac:dyDescent="0.25">
      <c r="A952">
        <v>11</v>
      </c>
      <c r="B952">
        <v>30</v>
      </c>
      <c r="C952">
        <v>12</v>
      </c>
      <c r="D952">
        <v>3553</v>
      </c>
      <c r="E952">
        <v>56</v>
      </c>
      <c r="F952">
        <v>12</v>
      </c>
      <c r="G952">
        <v>9.6213077455759048</v>
      </c>
      <c r="H952" t="s">
        <v>599</v>
      </c>
      <c r="I952" t="s">
        <v>35</v>
      </c>
      <c r="J952">
        <v>0</v>
      </c>
      <c r="K952">
        <v>98</v>
      </c>
      <c r="L952" t="s">
        <v>568</v>
      </c>
      <c r="M952">
        <v>2357</v>
      </c>
      <c r="N952">
        <v>8.5280923154205084</v>
      </c>
      <c r="O952">
        <v>9.6213077455759048</v>
      </c>
      <c r="P952">
        <v>8.8616797178983688</v>
      </c>
      <c r="Q952">
        <v>21.155919075012211</v>
      </c>
      <c r="R952">
        <v>2</v>
      </c>
      <c r="S952" t="s">
        <v>565</v>
      </c>
      <c r="T952">
        <v>2018</v>
      </c>
      <c r="U952" s="1">
        <v>45901.600802198707</v>
      </c>
      <c r="V952" t="s">
        <v>32</v>
      </c>
      <c r="W952" t="s">
        <v>107</v>
      </c>
      <c r="X952">
        <v>1.2472316983642759</v>
      </c>
      <c r="Y952">
        <v>1.2472316983642759</v>
      </c>
      <c r="Z952">
        <v>2.3786922544240952</v>
      </c>
      <c r="AA952">
        <v>3.7420449724225708</v>
      </c>
      <c r="AB952">
        <v>0.36738128854553731</v>
      </c>
    </row>
    <row r="953" spans="1:28" x14ac:dyDescent="0.25">
      <c r="A953">
        <v>5</v>
      </c>
      <c r="B953">
        <v>36</v>
      </c>
      <c r="C953">
        <v>11</v>
      </c>
      <c r="D953">
        <v>464</v>
      </c>
      <c r="E953">
        <v>53</v>
      </c>
      <c r="F953">
        <v>7</v>
      </c>
      <c r="G953">
        <v>8.1693913638591766</v>
      </c>
      <c r="H953" t="s">
        <v>569</v>
      </c>
      <c r="I953" t="s">
        <v>49</v>
      </c>
      <c r="J953">
        <v>0</v>
      </c>
      <c r="K953">
        <v>120</v>
      </c>
      <c r="L953" t="s">
        <v>575</v>
      </c>
      <c r="M953">
        <v>3240</v>
      </c>
      <c r="N953">
        <v>6.0570975635200739</v>
      </c>
      <c r="O953">
        <v>14.250023350119591</v>
      </c>
      <c r="P953">
        <v>5.3343178257346153</v>
      </c>
      <c r="Q953">
        <v>15.28237394616008</v>
      </c>
      <c r="R953">
        <v>6</v>
      </c>
      <c r="S953" t="s">
        <v>565</v>
      </c>
      <c r="T953">
        <v>2018</v>
      </c>
      <c r="U953" s="1">
        <v>45901.600802198707</v>
      </c>
      <c r="V953" t="s">
        <v>32</v>
      </c>
      <c r="W953" t="s">
        <v>107</v>
      </c>
      <c r="X953">
        <v>0.7719285596754959</v>
      </c>
      <c r="Y953">
        <v>0.85685697847302511</v>
      </c>
      <c r="Z953">
        <v>-3.2500233501195912</v>
      </c>
      <c r="AA953">
        <v>3.333333333333333</v>
      </c>
      <c r="AB953">
        <v>0.39583398194776642</v>
      </c>
    </row>
    <row r="954" spans="1:28" x14ac:dyDescent="0.25">
      <c r="A954">
        <v>4</v>
      </c>
      <c r="B954">
        <v>29</v>
      </c>
      <c r="C954">
        <v>11</v>
      </c>
      <c r="D954">
        <v>1126</v>
      </c>
      <c r="E954">
        <v>11</v>
      </c>
      <c r="F954">
        <v>9</v>
      </c>
      <c r="G954">
        <v>7.2030417202040553</v>
      </c>
      <c r="H954" t="s">
        <v>633</v>
      </c>
      <c r="I954" t="s">
        <v>35</v>
      </c>
      <c r="J954">
        <v>0</v>
      </c>
      <c r="K954">
        <v>65</v>
      </c>
      <c r="L954" t="s">
        <v>591</v>
      </c>
      <c r="M954">
        <v>1799</v>
      </c>
      <c r="N954">
        <v>2.0234676906839009</v>
      </c>
      <c r="O954">
        <v>8.7232327042147517</v>
      </c>
      <c r="P954">
        <v>1.0461307894438501</v>
      </c>
      <c r="Q954">
        <v>7.9402060210704803</v>
      </c>
      <c r="R954">
        <v>5</v>
      </c>
      <c r="S954" t="s">
        <v>565</v>
      </c>
      <c r="T954">
        <v>2018</v>
      </c>
      <c r="U954" s="1">
        <v>45901.600802198707</v>
      </c>
      <c r="V954" t="s">
        <v>32</v>
      </c>
      <c r="W954" t="s">
        <v>107</v>
      </c>
      <c r="X954">
        <v>1.2610004081038899</v>
      </c>
      <c r="Y954">
        <v>1.249472146573245</v>
      </c>
      <c r="Z954">
        <v>2.2767672957852478</v>
      </c>
      <c r="AA954">
        <v>3.2518065591995549</v>
      </c>
      <c r="AB954">
        <v>0.43640408192291702</v>
      </c>
    </row>
    <row r="955" spans="1:28" x14ac:dyDescent="0.25">
      <c r="A955">
        <v>4</v>
      </c>
      <c r="B955">
        <v>37</v>
      </c>
      <c r="C955">
        <v>11</v>
      </c>
      <c r="D955">
        <v>3746</v>
      </c>
      <c r="E955">
        <v>39</v>
      </c>
      <c r="F955">
        <v>11</v>
      </c>
      <c r="G955">
        <v>9.1407026425004005</v>
      </c>
      <c r="H955" t="s">
        <v>634</v>
      </c>
      <c r="I955" t="s">
        <v>35</v>
      </c>
      <c r="J955">
        <v>1</v>
      </c>
      <c r="K955">
        <v>85</v>
      </c>
      <c r="L955" t="s">
        <v>635</v>
      </c>
      <c r="M955">
        <v>3025</v>
      </c>
      <c r="N955">
        <v>5.8311488525941968</v>
      </c>
      <c r="O955">
        <v>9.1407026425004005</v>
      </c>
      <c r="P955">
        <v>2.6042668726295242</v>
      </c>
      <c r="Q955">
        <v>15.707096997648479</v>
      </c>
      <c r="R955">
        <v>1</v>
      </c>
      <c r="S955" t="s">
        <v>565</v>
      </c>
      <c r="T955">
        <v>2018</v>
      </c>
      <c r="U955" s="1">
        <v>45901.600802198707</v>
      </c>
      <c r="V955" t="s">
        <v>32</v>
      </c>
      <c r="W955" t="s">
        <v>107</v>
      </c>
      <c r="X955">
        <v>1.203408581398836</v>
      </c>
      <c r="Y955">
        <v>1.203408581398836</v>
      </c>
      <c r="Z955">
        <v>1.859297357499599</v>
      </c>
      <c r="AA955">
        <v>2.5289256198347112</v>
      </c>
      <c r="AB955">
        <v>0.27195478936364831</v>
      </c>
    </row>
    <row r="956" spans="1:28" x14ac:dyDescent="0.25">
      <c r="A956">
        <v>1</v>
      </c>
      <c r="B956">
        <v>32</v>
      </c>
      <c r="C956">
        <v>11</v>
      </c>
      <c r="D956">
        <v>5980</v>
      </c>
      <c r="E956">
        <v>23</v>
      </c>
      <c r="F956">
        <v>9</v>
      </c>
      <c r="G956">
        <v>6.9899102253839374</v>
      </c>
      <c r="H956" t="s">
        <v>636</v>
      </c>
      <c r="I956" t="s">
        <v>29</v>
      </c>
      <c r="J956">
        <v>0</v>
      </c>
      <c r="K956">
        <v>66</v>
      </c>
      <c r="L956" t="s">
        <v>618</v>
      </c>
      <c r="M956">
        <v>2527</v>
      </c>
      <c r="N956">
        <v>1.829475016333163</v>
      </c>
      <c r="O956">
        <v>9.2701966008171439</v>
      </c>
      <c r="P956">
        <v>0.92259100917726755</v>
      </c>
      <c r="Q956">
        <v>8.7481891354545951</v>
      </c>
      <c r="R956">
        <v>3</v>
      </c>
      <c r="S956" t="s">
        <v>565</v>
      </c>
      <c r="T956">
        <v>2018</v>
      </c>
      <c r="U956" s="1">
        <v>45901.600802198707</v>
      </c>
      <c r="V956" t="s">
        <v>32</v>
      </c>
      <c r="W956" t="s">
        <v>107</v>
      </c>
      <c r="X956">
        <v>1.186598351002651</v>
      </c>
      <c r="Y956">
        <v>1.2875701847094401</v>
      </c>
      <c r="Z956">
        <v>1.7298033991828561</v>
      </c>
      <c r="AA956">
        <v>2.350613375544123</v>
      </c>
      <c r="AB956">
        <v>0.33016133520915819</v>
      </c>
    </row>
    <row r="957" spans="1:28" x14ac:dyDescent="0.25">
      <c r="A957">
        <v>10</v>
      </c>
      <c r="B957">
        <v>36</v>
      </c>
      <c r="C957">
        <v>10</v>
      </c>
      <c r="D957">
        <v>555</v>
      </c>
      <c r="E957">
        <v>111</v>
      </c>
      <c r="F957">
        <v>10</v>
      </c>
      <c r="G957">
        <v>12.68227512948215</v>
      </c>
      <c r="H957" t="s">
        <v>294</v>
      </c>
      <c r="I957" t="s">
        <v>35</v>
      </c>
      <c r="J957">
        <v>0</v>
      </c>
      <c r="K957">
        <v>110</v>
      </c>
      <c r="L957" t="s">
        <v>564</v>
      </c>
      <c r="M957">
        <v>2736</v>
      </c>
      <c r="N957">
        <v>9.8720889380201697</v>
      </c>
      <c r="O957">
        <v>14.202395940199491</v>
      </c>
      <c r="P957">
        <v>6.9624885022640228</v>
      </c>
      <c r="Q957">
        <v>22.044058542698622</v>
      </c>
      <c r="R957">
        <v>5</v>
      </c>
      <c r="S957" t="s">
        <v>565</v>
      </c>
      <c r="T957">
        <v>2018</v>
      </c>
      <c r="U957" s="1">
        <v>45901.600802198707</v>
      </c>
      <c r="V957" t="s">
        <v>32</v>
      </c>
      <c r="W957" t="s">
        <v>107</v>
      </c>
      <c r="X957">
        <v>0.70410654949389717</v>
      </c>
      <c r="Y957">
        <v>0.78850205486815717</v>
      </c>
      <c r="Z957">
        <v>-4.2023959401994944</v>
      </c>
      <c r="AA957">
        <v>3.6184210526315792</v>
      </c>
      <c r="AB957">
        <v>0.46718407698024661</v>
      </c>
    </row>
    <row r="958" spans="1:28" x14ac:dyDescent="0.25">
      <c r="A958">
        <v>2</v>
      </c>
      <c r="B958">
        <v>35</v>
      </c>
      <c r="C958">
        <v>10</v>
      </c>
      <c r="D958">
        <v>5800</v>
      </c>
      <c r="E958">
        <v>17</v>
      </c>
      <c r="F958">
        <v>9</v>
      </c>
      <c r="G958">
        <v>6.5806811042129993</v>
      </c>
      <c r="H958" t="s">
        <v>637</v>
      </c>
      <c r="I958" t="s">
        <v>29</v>
      </c>
      <c r="J958">
        <v>0</v>
      </c>
      <c r="K958">
        <v>36</v>
      </c>
      <c r="L958" t="s">
        <v>638</v>
      </c>
      <c r="M958">
        <v>2019</v>
      </c>
      <c r="N958">
        <v>1.5650245016440749</v>
      </c>
      <c r="O958">
        <v>7.3407761044800282</v>
      </c>
      <c r="P958">
        <v>1.683012704364955</v>
      </c>
      <c r="Q958">
        <v>8.6478878166526556</v>
      </c>
      <c r="R958">
        <v>3</v>
      </c>
      <c r="S958" t="s">
        <v>565</v>
      </c>
      <c r="T958">
        <v>2018</v>
      </c>
      <c r="U958" s="1">
        <v>45901.600802198707</v>
      </c>
      <c r="V958" t="s">
        <v>32</v>
      </c>
      <c r="W958" t="s">
        <v>107</v>
      </c>
      <c r="X958">
        <v>1.3622537804820209</v>
      </c>
      <c r="Y958">
        <v>1.367639588892726</v>
      </c>
      <c r="Z958">
        <v>2.6592238955199718</v>
      </c>
      <c r="AA958">
        <v>1.604754829123328</v>
      </c>
      <c r="AB958">
        <v>0.32722627508826269</v>
      </c>
    </row>
    <row r="959" spans="1:28" x14ac:dyDescent="0.25">
      <c r="A959">
        <v>4</v>
      </c>
      <c r="B959">
        <v>37</v>
      </c>
      <c r="C959">
        <v>10</v>
      </c>
      <c r="D959">
        <v>6884</v>
      </c>
      <c r="E959">
        <v>26</v>
      </c>
      <c r="F959">
        <v>10</v>
      </c>
      <c r="G959">
        <v>8.6497845817357302</v>
      </c>
      <c r="H959" t="s">
        <v>639</v>
      </c>
      <c r="I959" t="s">
        <v>35</v>
      </c>
      <c r="J959">
        <v>0</v>
      </c>
      <c r="K959">
        <v>78</v>
      </c>
      <c r="L959" t="s">
        <v>640</v>
      </c>
      <c r="M959">
        <v>2647</v>
      </c>
      <c r="N959">
        <v>3.096713282167912</v>
      </c>
      <c r="O959">
        <v>8.6497845817357302</v>
      </c>
      <c r="P959">
        <v>2.2351268073543911</v>
      </c>
      <c r="Q959">
        <v>10.40082672145218</v>
      </c>
      <c r="R959">
        <v>4</v>
      </c>
      <c r="S959" t="s">
        <v>565</v>
      </c>
      <c r="T959">
        <v>2018</v>
      </c>
      <c r="U959" s="1">
        <v>45901.600802198707</v>
      </c>
      <c r="V959" t="s">
        <v>32</v>
      </c>
      <c r="W959" t="s">
        <v>107</v>
      </c>
      <c r="X959">
        <v>1.1560981554517891</v>
      </c>
      <c r="Y959">
        <v>1.1560981554517891</v>
      </c>
      <c r="Z959">
        <v>1.3502154182642701</v>
      </c>
      <c r="AA959">
        <v>2.6520589346429921</v>
      </c>
      <c r="AB959">
        <v>0.29409921131704408</v>
      </c>
    </row>
    <row r="960" spans="1:28" x14ac:dyDescent="0.25">
      <c r="A960">
        <v>4</v>
      </c>
      <c r="B960">
        <v>26</v>
      </c>
      <c r="C960">
        <v>18</v>
      </c>
      <c r="D960">
        <v>3210</v>
      </c>
      <c r="E960">
        <v>45</v>
      </c>
      <c r="F960">
        <v>15</v>
      </c>
      <c r="G960">
        <v>12.60484744235873</v>
      </c>
      <c r="H960" t="s">
        <v>254</v>
      </c>
      <c r="I960" t="s">
        <v>29</v>
      </c>
      <c r="J960">
        <v>0</v>
      </c>
      <c r="K960">
        <v>64</v>
      </c>
      <c r="L960" t="s">
        <v>602</v>
      </c>
      <c r="M960">
        <v>2195</v>
      </c>
      <c r="N960">
        <v>6.4228040101006627</v>
      </c>
      <c r="O960">
        <v>14.885068397969009</v>
      </c>
      <c r="P960">
        <v>4.1208231169730416</v>
      </c>
      <c r="Q960">
        <v>20.99812173563987</v>
      </c>
      <c r="R960">
        <v>0</v>
      </c>
      <c r="S960" t="s">
        <v>565</v>
      </c>
      <c r="T960">
        <v>2019</v>
      </c>
      <c r="U960" s="1">
        <v>45901.600802198707</v>
      </c>
      <c r="V960" t="s">
        <v>32</v>
      </c>
      <c r="W960" t="s">
        <v>122</v>
      </c>
      <c r="X960">
        <v>1.2092655215783901</v>
      </c>
      <c r="Y960">
        <v>1.1900183694086079</v>
      </c>
      <c r="Z960">
        <v>3.114931602030993</v>
      </c>
      <c r="AA960">
        <v>2.6241457858769932</v>
      </c>
      <c r="AB960">
        <v>0.6103217110784559</v>
      </c>
    </row>
    <row r="961" spans="1:28" x14ac:dyDescent="0.25">
      <c r="A961">
        <v>5</v>
      </c>
      <c r="B961">
        <v>20</v>
      </c>
      <c r="C961">
        <v>18</v>
      </c>
      <c r="D961">
        <v>3423</v>
      </c>
      <c r="E961">
        <v>40</v>
      </c>
      <c r="F961">
        <v>18</v>
      </c>
      <c r="G961">
        <v>16.572055026888851</v>
      </c>
      <c r="H961" t="s">
        <v>312</v>
      </c>
      <c r="I961" t="s">
        <v>29</v>
      </c>
      <c r="J961">
        <v>0</v>
      </c>
      <c r="K961">
        <v>88</v>
      </c>
      <c r="L961" t="s">
        <v>568</v>
      </c>
      <c r="M961">
        <v>1522</v>
      </c>
      <c r="N961">
        <v>10.57532497495413</v>
      </c>
      <c r="O961">
        <v>16.572055026888851</v>
      </c>
      <c r="P961">
        <v>6.04463055357337</v>
      </c>
      <c r="Q961">
        <v>29.428358376026161</v>
      </c>
      <c r="R961">
        <v>0</v>
      </c>
      <c r="S961" t="s">
        <v>565</v>
      </c>
      <c r="T961">
        <v>2019</v>
      </c>
      <c r="U961" s="1">
        <v>45901.600802198707</v>
      </c>
      <c r="V961" t="s">
        <v>32</v>
      </c>
      <c r="W961" t="s">
        <v>122</v>
      </c>
      <c r="X961">
        <v>1.086165835848014</v>
      </c>
      <c r="Y961">
        <v>1.086165835848014</v>
      </c>
      <c r="Z961">
        <v>1.4279449731111531</v>
      </c>
      <c r="AA961">
        <v>5.2036793692509864</v>
      </c>
      <c r="AB961">
        <v>0.97995069147174529</v>
      </c>
    </row>
    <row r="962" spans="1:28" x14ac:dyDescent="0.25">
      <c r="A962">
        <v>2</v>
      </c>
      <c r="B962">
        <v>27</v>
      </c>
      <c r="C962">
        <v>16</v>
      </c>
      <c r="D962">
        <v>7142</v>
      </c>
      <c r="E962">
        <v>21</v>
      </c>
      <c r="F962">
        <v>12</v>
      </c>
      <c r="G962">
        <v>7.5995617546141148</v>
      </c>
      <c r="H962" t="s">
        <v>630</v>
      </c>
      <c r="I962" t="s">
        <v>29</v>
      </c>
      <c r="J962">
        <v>0</v>
      </c>
      <c r="K962">
        <v>56</v>
      </c>
      <c r="L962" t="s">
        <v>564</v>
      </c>
      <c r="M962">
        <v>2184</v>
      </c>
      <c r="N962">
        <v>1.68354410212487</v>
      </c>
      <c r="O962">
        <v>11.40003779157996</v>
      </c>
      <c r="P962">
        <v>1.7008942039683459</v>
      </c>
      <c r="Q962">
        <v>9.3756314478814602</v>
      </c>
      <c r="R962">
        <v>3</v>
      </c>
      <c r="S962" t="s">
        <v>565</v>
      </c>
      <c r="T962">
        <v>2019</v>
      </c>
      <c r="U962" s="1">
        <v>45901.600802198707</v>
      </c>
      <c r="V962" t="s">
        <v>32</v>
      </c>
      <c r="W962" t="s">
        <v>122</v>
      </c>
      <c r="X962">
        <v>1.4035041192422679</v>
      </c>
      <c r="Y962">
        <v>1.5790384218819109</v>
      </c>
      <c r="Z962">
        <v>4.5999622084200382</v>
      </c>
      <c r="AA962">
        <v>2.307692307692307</v>
      </c>
      <c r="AB962">
        <v>0.46978177712554792</v>
      </c>
    </row>
    <row r="963" spans="1:28" x14ac:dyDescent="0.25">
      <c r="A963">
        <v>4</v>
      </c>
      <c r="B963">
        <v>27</v>
      </c>
      <c r="C963">
        <v>13</v>
      </c>
      <c r="D963">
        <v>5322</v>
      </c>
      <c r="E963">
        <v>21</v>
      </c>
      <c r="F963">
        <v>11</v>
      </c>
      <c r="G963">
        <v>13.53374827280641</v>
      </c>
      <c r="H963" t="s">
        <v>531</v>
      </c>
      <c r="I963" t="s">
        <v>29</v>
      </c>
      <c r="J963">
        <v>0</v>
      </c>
      <c r="K963">
        <v>86</v>
      </c>
      <c r="L963" t="s">
        <v>595</v>
      </c>
      <c r="M963">
        <v>2294</v>
      </c>
      <c r="N963">
        <v>3.0678584203124051</v>
      </c>
      <c r="O963">
        <v>15.813830737024549</v>
      </c>
      <c r="P963">
        <v>0.2419491037726402</v>
      </c>
      <c r="Q963">
        <v>14.645040197297931</v>
      </c>
      <c r="R963">
        <v>4</v>
      </c>
      <c r="S963" t="s">
        <v>565</v>
      </c>
      <c r="T963">
        <v>2019</v>
      </c>
      <c r="U963" s="1">
        <v>45901.600802198707</v>
      </c>
      <c r="V963" t="s">
        <v>32</v>
      </c>
      <c r="W963" t="s">
        <v>122</v>
      </c>
      <c r="X963">
        <v>0.82206520457838272</v>
      </c>
      <c r="Y963">
        <v>0.81278296139898576</v>
      </c>
      <c r="Z963">
        <v>-2.8138307370245461</v>
      </c>
      <c r="AA963">
        <v>3.3740191804707931</v>
      </c>
      <c r="AB963">
        <v>0.62042056073766749</v>
      </c>
    </row>
    <row r="964" spans="1:28" x14ac:dyDescent="0.25">
      <c r="A964">
        <v>2</v>
      </c>
      <c r="B964">
        <v>20</v>
      </c>
      <c r="C964">
        <v>12</v>
      </c>
      <c r="D964">
        <v>1513</v>
      </c>
      <c r="E964">
        <v>11</v>
      </c>
      <c r="F964">
        <v>12</v>
      </c>
      <c r="G964">
        <v>11.456868188455701</v>
      </c>
      <c r="H964" t="s">
        <v>435</v>
      </c>
      <c r="I964" t="s">
        <v>29</v>
      </c>
      <c r="J964">
        <v>0</v>
      </c>
      <c r="K964">
        <v>36</v>
      </c>
      <c r="L964" t="s">
        <v>568</v>
      </c>
      <c r="M964">
        <v>1263</v>
      </c>
      <c r="N964">
        <v>2.1562581975013022</v>
      </c>
      <c r="O964">
        <v>11.456868188455701</v>
      </c>
      <c r="P964">
        <v>4.9473505206406116</v>
      </c>
      <c r="Q964">
        <v>17.381139658391479</v>
      </c>
      <c r="R964">
        <v>0</v>
      </c>
      <c r="S964" t="s">
        <v>565</v>
      </c>
      <c r="T964">
        <v>2019</v>
      </c>
      <c r="U964" s="1">
        <v>45901.600802198707</v>
      </c>
      <c r="V964" t="s">
        <v>32</v>
      </c>
      <c r="W964" t="s">
        <v>122</v>
      </c>
      <c r="X964">
        <v>1.0474066562179341</v>
      </c>
      <c r="Y964">
        <v>1.0474066562179341</v>
      </c>
      <c r="Z964">
        <v>0.54313181154429913</v>
      </c>
      <c r="AA964">
        <v>2.5653206650831351</v>
      </c>
      <c r="AB964">
        <v>0.81640390891608317</v>
      </c>
    </row>
    <row r="965" spans="1:28" x14ac:dyDescent="0.25">
      <c r="A965">
        <v>6</v>
      </c>
      <c r="B965">
        <v>15</v>
      </c>
      <c r="C965">
        <v>12</v>
      </c>
      <c r="D965">
        <v>2099</v>
      </c>
      <c r="E965">
        <v>38</v>
      </c>
      <c r="F965">
        <v>8</v>
      </c>
      <c r="G965">
        <v>10.924712043255569</v>
      </c>
      <c r="H965" t="s">
        <v>199</v>
      </c>
      <c r="I965" t="s">
        <v>49</v>
      </c>
      <c r="J965">
        <v>1</v>
      </c>
      <c r="K965">
        <v>70</v>
      </c>
      <c r="L965" t="s">
        <v>568</v>
      </c>
      <c r="M965">
        <v>1325</v>
      </c>
      <c r="N965">
        <v>5.2460245229303837</v>
      </c>
      <c r="O965">
        <v>14.72510581836104</v>
      </c>
      <c r="P965">
        <v>7.2061268668621778</v>
      </c>
      <c r="Q965">
        <v>21.302691206336021</v>
      </c>
      <c r="R965">
        <v>2</v>
      </c>
      <c r="S965" t="s">
        <v>565</v>
      </c>
      <c r="T965">
        <v>2019</v>
      </c>
      <c r="U965" s="1">
        <v>45901.600802198707</v>
      </c>
      <c r="V965" t="s">
        <v>32</v>
      </c>
      <c r="W965" t="s">
        <v>122</v>
      </c>
      <c r="X965">
        <v>0.81493472087901386</v>
      </c>
      <c r="Y965">
        <v>0.73228474749033268</v>
      </c>
      <c r="Z965">
        <v>-2.7251058183610439</v>
      </c>
      <c r="AA965">
        <v>4.7547169811320753</v>
      </c>
      <c r="AB965">
        <v>1.000195866907543</v>
      </c>
    </row>
    <row r="966" spans="1:28" x14ac:dyDescent="0.25">
      <c r="A966">
        <v>3</v>
      </c>
      <c r="B966">
        <v>26</v>
      </c>
      <c r="C966">
        <v>12</v>
      </c>
      <c r="D966">
        <v>5769</v>
      </c>
      <c r="E966">
        <v>24</v>
      </c>
      <c r="F966">
        <v>11</v>
      </c>
      <c r="G966">
        <v>6.8877718755975366</v>
      </c>
      <c r="H966" t="s">
        <v>641</v>
      </c>
      <c r="I966" t="s">
        <v>32</v>
      </c>
      <c r="J966">
        <v>1</v>
      </c>
      <c r="K966">
        <v>76</v>
      </c>
      <c r="L966" t="s">
        <v>620</v>
      </c>
      <c r="M966">
        <v>2214</v>
      </c>
      <c r="N966">
        <v>1.975351292639971</v>
      </c>
      <c r="O966">
        <v>9.1680533299222606</v>
      </c>
      <c r="P966">
        <v>0.78800530731678009</v>
      </c>
      <c r="Q966">
        <v>8.5554037867113948</v>
      </c>
      <c r="R966">
        <v>2</v>
      </c>
      <c r="S966" t="s">
        <v>565</v>
      </c>
      <c r="T966">
        <v>2019</v>
      </c>
      <c r="U966" s="1">
        <v>45901.600802198707</v>
      </c>
      <c r="V966" t="s">
        <v>32</v>
      </c>
      <c r="W966" t="s">
        <v>122</v>
      </c>
      <c r="X966">
        <v>1.3088929097777999</v>
      </c>
      <c r="Y966">
        <v>1.597033147827027</v>
      </c>
      <c r="Z966">
        <v>2.8319466700777389</v>
      </c>
      <c r="AA966">
        <v>3.089430894308943</v>
      </c>
      <c r="AB966">
        <v>0.372685094712287</v>
      </c>
    </row>
    <row r="967" spans="1:28" x14ac:dyDescent="0.25">
      <c r="A967">
        <v>0</v>
      </c>
      <c r="B967">
        <v>26</v>
      </c>
      <c r="C967">
        <v>11</v>
      </c>
      <c r="D967">
        <v>7716</v>
      </c>
      <c r="E967">
        <v>20</v>
      </c>
      <c r="F967">
        <v>11</v>
      </c>
      <c r="G967">
        <v>9.0239431876689196</v>
      </c>
      <c r="H967" t="s">
        <v>642</v>
      </c>
      <c r="I967" t="s">
        <v>29</v>
      </c>
      <c r="J967">
        <v>0</v>
      </c>
      <c r="K967">
        <v>61</v>
      </c>
      <c r="L967" t="s">
        <v>567</v>
      </c>
      <c r="M967">
        <v>2142</v>
      </c>
      <c r="N967">
        <v>1.545184221118689</v>
      </c>
      <c r="O967">
        <v>9.7840381879359484</v>
      </c>
      <c r="P967">
        <v>2.1260170303285122</v>
      </c>
      <c r="Q967">
        <v>10.92423675581813</v>
      </c>
      <c r="R967">
        <v>4</v>
      </c>
      <c r="S967" t="s">
        <v>565</v>
      </c>
      <c r="T967">
        <v>2019</v>
      </c>
      <c r="U967" s="1">
        <v>45901.600802198707</v>
      </c>
      <c r="V967" t="s">
        <v>32</v>
      </c>
      <c r="W967" t="s">
        <v>122</v>
      </c>
      <c r="X967">
        <v>1.124280158019352</v>
      </c>
      <c r="Y967">
        <v>1.2189793055248099</v>
      </c>
      <c r="Z967">
        <v>1.2159618120640521</v>
      </c>
      <c r="AA967">
        <v>2.5630252100840329</v>
      </c>
      <c r="AB967">
        <v>0.4110940415099138</v>
      </c>
    </row>
    <row r="968" spans="1:28" x14ac:dyDescent="0.25">
      <c r="A968">
        <v>3</v>
      </c>
      <c r="B968">
        <v>23</v>
      </c>
      <c r="C968">
        <v>11</v>
      </c>
      <c r="D968">
        <v>8025</v>
      </c>
      <c r="E968">
        <v>12</v>
      </c>
      <c r="F968">
        <v>11</v>
      </c>
      <c r="G968">
        <v>8.6330413725227118</v>
      </c>
      <c r="H968" t="s">
        <v>643</v>
      </c>
      <c r="I968" t="s">
        <v>29</v>
      </c>
      <c r="J968">
        <v>0</v>
      </c>
      <c r="K968">
        <v>42</v>
      </c>
      <c r="L968" t="s">
        <v>583</v>
      </c>
      <c r="M968">
        <v>1908</v>
      </c>
      <c r="N968">
        <v>2.3823685003444548</v>
      </c>
      <c r="O968">
        <v>8.6330413725227118</v>
      </c>
      <c r="P968">
        <v>2.4095667265355591</v>
      </c>
      <c r="Q968">
        <v>10.746119681745769</v>
      </c>
      <c r="R968">
        <v>2</v>
      </c>
      <c r="S968" t="s">
        <v>565</v>
      </c>
      <c r="T968">
        <v>2019</v>
      </c>
      <c r="U968" s="1">
        <v>45901.600802198707</v>
      </c>
      <c r="V968" t="s">
        <v>32</v>
      </c>
      <c r="W968" t="s">
        <v>122</v>
      </c>
      <c r="X968">
        <v>1.274174363974538</v>
      </c>
      <c r="Y968">
        <v>1.274174363974538</v>
      </c>
      <c r="Z968">
        <v>2.3669586274772878</v>
      </c>
      <c r="AA968">
        <v>1.9811320754716979</v>
      </c>
      <c r="AB968">
        <v>0.4072189326661656</v>
      </c>
    </row>
    <row r="969" spans="1:28" x14ac:dyDescent="0.25">
      <c r="A969">
        <v>7</v>
      </c>
      <c r="B969">
        <v>31</v>
      </c>
      <c r="C969">
        <v>27</v>
      </c>
      <c r="D969">
        <v>3423</v>
      </c>
      <c r="E969">
        <v>33</v>
      </c>
      <c r="F969">
        <v>21</v>
      </c>
      <c r="G969">
        <v>18.294128023087978</v>
      </c>
      <c r="H969" t="s">
        <v>312</v>
      </c>
      <c r="I969" t="s">
        <v>35</v>
      </c>
      <c r="J969">
        <v>0</v>
      </c>
      <c r="K969">
        <v>103</v>
      </c>
      <c r="L969" t="s">
        <v>568</v>
      </c>
      <c r="M969">
        <v>2392</v>
      </c>
      <c r="N969">
        <v>5.3841294087469578</v>
      </c>
      <c r="O969">
        <v>22.854562066495419</v>
      </c>
      <c r="P969">
        <v>10.39817759394646</v>
      </c>
      <c r="Q969">
        <v>32.028016969561577</v>
      </c>
      <c r="R969">
        <v>5</v>
      </c>
      <c r="S969" t="s">
        <v>565</v>
      </c>
      <c r="T969">
        <v>2020</v>
      </c>
      <c r="U969" s="1">
        <v>45901.600802198707</v>
      </c>
      <c r="V969" t="s">
        <v>32</v>
      </c>
      <c r="W969" t="s">
        <v>130</v>
      </c>
      <c r="X969">
        <v>1.181383389515118</v>
      </c>
      <c r="Y969">
        <v>1.1479093167762411</v>
      </c>
      <c r="Z969">
        <v>4.1454379335045806</v>
      </c>
      <c r="AA969">
        <v>3.8754180602006691</v>
      </c>
      <c r="AB969">
        <v>0.85991245233469371</v>
      </c>
    </row>
    <row r="970" spans="1:28" x14ac:dyDescent="0.25">
      <c r="A970">
        <v>12</v>
      </c>
      <c r="B970">
        <v>37</v>
      </c>
      <c r="C970">
        <v>21</v>
      </c>
      <c r="D970">
        <v>555</v>
      </c>
      <c r="E970">
        <v>94</v>
      </c>
      <c r="F970">
        <v>13</v>
      </c>
      <c r="G970">
        <v>10.16880136169493</v>
      </c>
      <c r="H970" t="s">
        <v>294</v>
      </c>
      <c r="I970" t="s">
        <v>35</v>
      </c>
      <c r="J970">
        <v>0</v>
      </c>
      <c r="K970">
        <v>110</v>
      </c>
      <c r="L970" t="s">
        <v>564</v>
      </c>
      <c r="M970">
        <v>2932</v>
      </c>
      <c r="N970">
        <v>14.07053175196052</v>
      </c>
      <c r="O970">
        <v>16.249497080221769</v>
      </c>
      <c r="P970">
        <v>12.154922423884271</v>
      </c>
      <c r="Q970">
        <v>28.869873421266671</v>
      </c>
      <c r="R970">
        <v>4</v>
      </c>
      <c r="S970" t="s">
        <v>565</v>
      </c>
      <c r="T970">
        <v>2020</v>
      </c>
      <c r="U970" s="1">
        <v>45901.600802198707</v>
      </c>
      <c r="V970" t="s">
        <v>32</v>
      </c>
      <c r="W970" t="s">
        <v>130</v>
      </c>
      <c r="X970">
        <v>1.292347689059272</v>
      </c>
      <c r="Y970">
        <v>1.2784200947193209</v>
      </c>
      <c r="Z970">
        <v>4.7505029197782278</v>
      </c>
      <c r="AA970">
        <v>3.3765347885402459</v>
      </c>
      <c r="AB970">
        <v>0.49879083806956331</v>
      </c>
    </row>
    <row r="971" spans="1:28" x14ac:dyDescent="0.25">
      <c r="A971">
        <v>7</v>
      </c>
      <c r="B971">
        <v>37</v>
      </c>
      <c r="C971">
        <v>20</v>
      </c>
      <c r="D971">
        <v>3210</v>
      </c>
      <c r="E971">
        <v>41</v>
      </c>
      <c r="F971">
        <v>10</v>
      </c>
      <c r="G971">
        <v>11.10391493886709</v>
      </c>
      <c r="H971" t="s">
        <v>254</v>
      </c>
      <c r="I971" t="s">
        <v>29</v>
      </c>
      <c r="J971">
        <v>0</v>
      </c>
      <c r="K971">
        <v>81</v>
      </c>
      <c r="L971" t="s">
        <v>602</v>
      </c>
      <c r="M971">
        <v>2658</v>
      </c>
      <c r="N971">
        <v>6.69225063174963</v>
      </c>
      <c r="O971">
        <v>20.22498864680529</v>
      </c>
      <c r="P971">
        <v>7.8902597725391388</v>
      </c>
      <c r="Q971">
        <v>21.631081022322171</v>
      </c>
      <c r="R971">
        <v>3</v>
      </c>
      <c r="S971" t="s">
        <v>565</v>
      </c>
      <c r="T971">
        <v>2020</v>
      </c>
      <c r="U971" s="1">
        <v>45901.600802198707</v>
      </c>
      <c r="V971" t="s">
        <v>32</v>
      </c>
      <c r="W971" t="s">
        <v>130</v>
      </c>
      <c r="X971">
        <v>0.98887570961179128</v>
      </c>
      <c r="Y971">
        <v>0.90058326770830599</v>
      </c>
      <c r="Z971">
        <v>-0.22498864680528641</v>
      </c>
      <c r="AA971">
        <v>2.7426636568848761</v>
      </c>
      <c r="AB971">
        <v>0.68481902867286526</v>
      </c>
    </row>
    <row r="972" spans="1:28" x14ac:dyDescent="0.25">
      <c r="A972">
        <v>7</v>
      </c>
      <c r="B972">
        <v>35</v>
      </c>
      <c r="C972">
        <v>16</v>
      </c>
      <c r="D972">
        <v>83</v>
      </c>
      <c r="E972">
        <v>32</v>
      </c>
      <c r="F972">
        <v>16</v>
      </c>
      <c r="G972">
        <v>11.13623906299472</v>
      </c>
      <c r="H972" t="s">
        <v>372</v>
      </c>
      <c r="I972" t="s">
        <v>35</v>
      </c>
      <c r="J972">
        <v>0</v>
      </c>
      <c r="K972">
        <v>56</v>
      </c>
      <c r="L972" t="s">
        <v>602</v>
      </c>
      <c r="M972">
        <v>2820</v>
      </c>
      <c r="N972">
        <v>5.5415478087961674</v>
      </c>
      <c r="O972">
        <v>11.13623906299472</v>
      </c>
      <c r="P972">
        <v>4.0623109331354499</v>
      </c>
      <c r="Q972">
        <v>18.232258150354031</v>
      </c>
      <c r="R972">
        <v>4</v>
      </c>
      <c r="S972" t="s">
        <v>565</v>
      </c>
      <c r="T972">
        <v>2020</v>
      </c>
      <c r="U972" s="1">
        <v>45901.600802198707</v>
      </c>
      <c r="V972" t="s">
        <v>32</v>
      </c>
      <c r="W972" t="s">
        <v>130</v>
      </c>
      <c r="X972">
        <v>1.4367507656303251</v>
      </c>
      <c r="Y972">
        <v>1.4367507656303251</v>
      </c>
      <c r="Z972">
        <v>4.8637609370052797</v>
      </c>
      <c r="AA972">
        <v>1.7872340425531921</v>
      </c>
      <c r="AB972">
        <v>0.35541188498919318</v>
      </c>
    </row>
    <row r="973" spans="1:28" x14ac:dyDescent="0.25">
      <c r="A973">
        <v>8</v>
      </c>
      <c r="B973">
        <v>38</v>
      </c>
      <c r="C973">
        <v>16</v>
      </c>
      <c r="D973">
        <v>3746</v>
      </c>
      <c r="E973">
        <v>37</v>
      </c>
      <c r="F973">
        <v>16</v>
      </c>
      <c r="G973">
        <v>11.37797176185995</v>
      </c>
      <c r="H973" t="s">
        <v>634</v>
      </c>
      <c r="I973" t="s">
        <v>49</v>
      </c>
      <c r="J973">
        <v>0</v>
      </c>
      <c r="K973">
        <v>101</v>
      </c>
      <c r="L973" t="s">
        <v>580</v>
      </c>
      <c r="M973">
        <v>3297</v>
      </c>
      <c r="N973">
        <v>5.4329742258414626</v>
      </c>
      <c r="O973">
        <v>11.37797176185995</v>
      </c>
      <c r="P973">
        <v>4.2949052816256881</v>
      </c>
      <c r="Q973">
        <v>15.379744828678669</v>
      </c>
      <c r="R973">
        <v>3</v>
      </c>
      <c r="S973" t="s">
        <v>565</v>
      </c>
      <c r="T973">
        <v>2020</v>
      </c>
      <c r="U973" s="1">
        <v>45901.600802198707</v>
      </c>
      <c r="V973" t="s">
        <v>32</v>
      </c>
      <c r="W973" t="s">
        <v>130</v>
      </c>
      <c r="X973">
        <v>1.406226024715014</v>
      </c>
      <c r="Y973">
        <v>1.406226024715014</v>
      </c>
      <c r="Z973">
        <v>4.6220282381400484</v>
      </c>
      <c r="AA973">
        <v>2.7570518653321199</v>
      </c>
      <c r="AB973">
        <v>0.31059067593794232</v>
      </c>
    </row>
    <row r="974" spans="1:28" x14ac:dyDescent="0.25">
      <c r="A974">
        <v>4</v>
      </c>
      <c r="B974">
        <v>35</v>
      </c>
      <c r="C974">
        <v>16</v>
      </c>
      <c r="D974">
        <v>6905</v>
      </c>
      <c r="E974">
        <v>35</v>
      </c>
      <c r="F974">
        <v>12</v>
      </c>
      <c r="G974">
        <v>12.05915774777532</v>
      </c>
      <c r="H974" t="s">
        <v>644</v>
      </c>
      <c r="I974" t="s">
        <v>29</v>
      </c>
      <c r="J974">
        <v>0</v>
      </c>
      <c r="K974">
        <v>69</v>
      </c>
      <c r="L974" t="s">
        <v>645</v>
      </c>
      <c r="M974">
        <v>2983</v>
      </c>
      <c r="N974">
        <v>3.360381954349577</v>
      </c>
      <c r="O974">
        <v>15.859638623893259</v>
      </c>
      <c r="P974">
        <v>1.8609373075887561</v>
      </c>
      <c r="Q974">
        <v>16.34954374935478</v>
      </c>
      <c r="R974">
        <v>5</v>
      </c>
      <c r="S974" t="s">
        <v>565</v>
      </c>
      <c r="T974">
        <v>2020</v>
      </c>
      <c r="U974" s="1">
        <v>45901.600802198707</v>
      </c>
      <c r="V974" t="s">
        <v>32</v>
      </c>
      <c r="W974" t="s">
        <v>130</v>
      </c>
      <c r="X974">
        <v>1.008850225369907</v>
      </c>
      <c r="Y974">
        <v>0.99509437151311586</v>
      </c>
      <c r="Z974">
        <v>0.14036137610674079</v>
      </c>
      <c r="AA974">
        <v>2.081796848809923</v>
      </c>
      <c r="AB974">
        <v>0.47850066247079898</v>
      </c>
    </row>
    <row r="975" spans="1:28" x14ac:dyDescent="0.25">
      <c r="A975">
        <v>5</v>
      </c>
      <c r="B975">
        <v>28</v>
      </c>
      <c r="C975">
        <v>16</v>
      </c>
      <c r="D975">
        <v>8637</v>
      </c>
      <c r="E975">
        <v>29</v>
      </c>
      <c r="F975">
        <v>12</v>
      </c>
      <c r="G975">
        <v>7.3663123110309243</v>
      </c>
      <c r="H975" t="s">
        <v>646</v>
      </c>
      <c r="I975" t="s">
        <v>29</v>
      </c>
      <c r="J975">
        <v>0</v>
      </c>
      <c r="K975">
        <v>66</v>
      </c>
      <c r="L975" t="s">
        <v>595</v>
      </c>
      <c r="M975">
        <v>2057</v>
      </c>
      <c r="N975">
        <v>4.2240323964506388</v>
      </c>
      <c r="O975">
        <v>10.4066891670227</v>
      </c>
      <c r="P975">
        <v>1.594035601243377</v>
      </c>
      <c r="Q975">
        <v>11.470711605623359</v>
      </c>
      <c r="R975">
        <v>6</v>
      </c>
      <c r="S975" t="s">
        <v>565</v>
      </c>
      <c r="T975">
        <v>2020</v>
      </c>
      <c r="U975" s="1">
        <v>45901.600802198707</v>
      </c>
      <c r="V975" t="s">
        <v>32</v>
      </c>
      <c r="W975" t="s">
        <v>130</v>
      </c>
      <c r="X975">
        <v>1.537472652753163</v>
      </c>
      <c r="Y975">
        <v>1.6290376369231869</v>
      </c>
      <c r="Z975">
        <v>5.5933108329772967</v>
      </c>
      <c r="AA975">
        <v>2.8877005347593592</v>
      </c>
      <c r="AB975">
        <v>0.45532427079827092</v>
      </c>
    </row>
    <row r="976" spans="1:28" x14ac:dyDescent="0.25">
      <c r="A976">
        <v>9</v>
      </c>
      <c r="B976">
        <v>30</v>
      </c>
      <c r="C976">
        <v>15</v>
      </c>
      <c r="D976">
        <v>3530</v>
      </c>
      <c r="E976">
        <v>53</v>
      </c>
      <c r="F976">
        <v>15</v>
      </c>
      <c r="G976">
        <v>12.167389162816111</v>
      </c>
      <c r="H976" t="s">
        <v>592</v>
      </c>
      <c r="I976" t="s">
        <v>32</v>
      </c>
      <c r="J976">
        <v>0</v>
      </c>
      <c r="K976">
        <v>91</v>
      </c>
      <c r="L976" t="s">
        <v>580</v>
      </c>
      <c r="M976">
        <v>2516</v>
      </c>
      <c r="N976">
        <v>6.7867042236030102</v>
      </c>
      <c r="O976">
        <v>12.927484155632561</v>
      </c>
      <c r="P976">
        <v>4.1330939214676619</v>
      </c>
      <c r="Q976">
        <v>17.666915736161169</v>
      </c>
      <c r="R976">
        <v>4</v>
      </c>
      <c r="S976" t="s">
        <v>565</v>
      </c>
      <c r="T976">
        <v>2020</v>
      </c>
      <c r="U976" s="1">
        <v>45901.600802198707</v>
      </c>
      <c r="V976" t="s">
        <v>32</v>
      </c>
      <c r="W976" t="s">
        <v>130</v>
      </c>
      <c r="X976">
        <v>1.160318575479703</v>
      </c>
      <c r="Y976">
        <v>1.232803504456029</v>
      </c>
      <c r="Z976">
        <v>2.072515844367445</v>
      </c>
      <c r="AA976">
        <v>3.25516693163752</v>
      </c>
      <c r="AB976">
        <v>0.4624298783811327</v>
      </c>
    </row>
    <row r="977" spans="1:28" x14ac:dyDescent="0.25">
      <c r="A977">
        <v>6</v>
      </c>
      <c r="B977">
        <v>35</v>
      </c>
      <c r="C977">
        <v>14</v>
      </c>
      <c r="D977">
        <v>5657</v>
      </c>
      <c r="E977">
        <v>49</v>
      </c>
      <c r="F977">
        <v>14</v>
      </c>
      <c r="G977">
        <v>17.977214906364679</v>
      </c>
      <c r="H977" t="s">
        <v>280</v>
      </c>
      <c r="I977" t="s">
        <v>35</v>
      </c>
      <c r="J977">
        <v>0</v>
      </c>
      <c r="K977">
        <v>90</v>
      </c>
      <c r="L977" t="s">
        <v>564</v>
      </c>
      <c r="M977">
        <v>2849</v>
      </c>
      <c r="N977">
        <v>6.9999576769769192</v>
      </c>
      <c r="O977">
        <v>17.977214906364679</v>
      </c>
      <c r="P977">
        <v>8.0841928441077471</v>
      </c>
      <c r="Q977">
        <v>28.031242348253731</v>
      </c>
      <c r="R977">
        <v>3</v>
      </c>
      <c r="S977" t="s">
        <v>565</v>
      </c>
      <c r="T977">
        <v>2020</v>
      </c>
      <c r="U977" s="1">
        <v>45901.600802198707</v>
      </c>
      <c r="V977" t="s">
        <v>32</v>
      </c>
      <c r="W977" t="s">
        <v>130</v>
      </c>
      <c r="X977">
        <v>0.77876356671040403</v>
      </c>
      <c r="Y977">
        <v>0.77876356671040403</v>
      </c>
      <c r="Z977">
        <v>-3.9772149063646789</v>
      </c>
      <c r="AA977">
        <v>2.8431028431028431</v>
      </c>
      <c r="AB977">
        <v>0.56790078679284706</v>
      </c>
    </row>
    <row r="978" spans="1:28" x14ac:dyDescent="0.25">
      <c r="A978">
        <v>1</v>
      </c>
      <c r="B978">
        <v>36</v>
      </c>
      <c r="C978">
        <v>14</v>
      </c>
      <c r="D978">
        <v>7224</v>
      </c>
      <c r="E978">
        <v>29</v>
      </c>
      <c r="F978">
        <v>9</v>
      </c>
      <c r="G978">
        <v>9.48803267814219</v>
      </c>
      <c r="H978" t="s">
        <v>545</v>
      </c>
      <c r="I978" t="s">
        <v>35</v>
      </c>
      <c r="J978">
        <v>0</v>
      </c>
      <c r="K978">
        <v>63</v>
      </c>
      <c r="L978" t="s">
        <v>640</v>
      </c>
      <c r="M978">
        <v>2974</v>
      </c>
      <c r="N978">
        <v>2.009201772511005</v>
      </c>
      <c r="O978">
        <v>13.288510190323001</v>
      </c>
      <c r="P978">
        <v>2.3346957787871361</v>
      </c>
      <c r="Q978">
        <v>13.30080201476812</v>
      </c>
      <c r="R978">
        <v>2</v>
      </c>
      <c r="S978" t="s">
        <v>565</v>
      </c>
      <c r="T978">
        <v>2020</v>
      </c>
      <c r="U978" s="1">
        <v>45901.600802198707</v>
      </c>
      <c r="V978" t="s">
        <v>32</v>
      </c>
      <c r="W978" t="s">
        <v>130</v>
      </c>
      <c r="X978">
        <v>1.053541728868532</v>
      </c>
      <c r="Y978">
        <v>0.94856334345617477</v>
      </c>
      <c r="Z978">
        <v>0.71148980967700481</v>
      </c>
      <c r="AA978">
        <v>1.906523201075992</v>
      </c>
      <c r="AB978">
        <v>0.40214052358072278</v>
      </c>
    </row>
    <row r="979" spans="1:28" x14ac:dyDescent="0.25">
      <c r="A979">
        <v>2</v>
      </c>
      <c r="B979">
        <v>32</v>
      </c>
      <c r="C979">
        <v>14</v>
      </c>
      <c r="D979">
        <v>8997</v>
      </c>
      <c r="E979">
        <v>26</v>
      </c>
      <c r="F979">
        <v>13</v>
      </c>
      <c r="G979">
        <v>9.9512677192688006</v>
      </c>
      <c r="H979" t="s">
        <v>647</v>
      </c>
      <c r="I979" t="s">
        <v>29</v>
      </c>
      <c r="J979">
        <v>0</v>
      </c>
      <c r="K979">
        <v>56</v>
      </c>
      <c r="L979" t="s">
        <v>578</v>
      </c>
      <c r="M979">
        <v>2104</v>
      </c>
      <c r="N979">
        <v>2.9062403365969658</v>
      </c>
      <c r="O979">
        <v>10.71136569976807</v>
      </c>
      <c r="P979">
        <v>1.789636895991862</v>
      </c>
      <c r="Q979">
        <v>13.14053688012064</v>
      </c>
      <c r="R979">
        <v>2</v>
      </c>
      <c r="S979" t="s">
        <v>565</v>
      </c>
      <c r="T979">
        <v>2020</v>
      </c>
      <c r="U979" s="1">
        <v>45901.600802198707</v>
      </c>
      <c r="V979" t="s">
        <v>32</v>
      </c>
      <c r="W979" t="s">
        <v>130</v>
      </c>
      <c r="X979">
        <v>1.307022875738725</v>
      </c>
      <c r="Y979">
        <v>1.30636622053971</v>
      </c>
      <c r="Z979">
        <v>3.288634300231934</v>
      </c>
      <c r="AA979">
        <v>2.3954372623574138</v>
      </c>
      <c r="AB979">
        <v>0.45818579514217012</v>
      </c>
    </row>
    <row r="980" spans="1:28" x14ac:dyDescent="0.25">
      <c r="A980">
        <v>0</v>
      </c>
      <c r="B980">
        <v>26</v>
      </c>
      <c r="C980">
        <v>13</v>
      </c>
      <c r="D980">
        <v>1304</v>
      </c>
      <c r="E980">
        <v>7</v>
      </c>
      <c r="F980">
        <v>13</v>
      </c>
      <c r="G980">
        <v>10.80333484709263</v>
      </c>
      <c r="H980" t="s">
        <v>559</v>
      </c>
      <c r="I980" t="s">
        <v>35</v>
      </c>
      <c r="J980">
        <v>0</v>
      </c>
      <c r="K980">
        <v>52</v>
      </c>
      <c r="L980" t="s">
        <v>568</v>
      </c>
      <c r="M980">
        <v>1723</v>
      </c>
      <c r="N980">
        <v>0.95593558624386799</v>
      </c>
      <c r="O980">
        <v>10.80333484709263</v>
      </c>
      <c r="P980">
        <v>3.0962145980447531</v>
      </c>
      <c r="Q980">
        <v>13.382937137037519</v>
      </c>
      <c r="R980">
        <v>4</v>
      </c>
      <c r="S980" t="s">
        <v>565</v>
      </c>
      <c r="T980">
        <v>2020</v>
      </c>
      <c r="U980" s="1">
        <v>45901.600802198707</v>
      </c>
      <c r="V980" t="s">
        <v>32</v>
      </c>
      <c r="W980" t="s">
        <v>130</v>
      </c>
      <c r="X980">
        <v>1.2033321362337051</v>
      </c>
      <c r="Y980">
        <v>1.2033321362337051</v>
      </c>
      <c r="Z980">
        <v>2.196665152907372</v>
      </c>
      <c r="AA980">
        <v>2.716192687173534</v>
      </c>
      <c r="AB980">
        <v>0.56430652132230785</v>
      </c>
    </row>
    <row r="981" spans="1:28" x14ac:dyDescent="0.25">
      <c r="A981">
        <v>2</v>
      </c>
      <c r="B981">
        <v>37</v>
      </c>
      <c r="C981">
        <v>13</v>
      </c>
      <c r="D981">
        <v>8636</v>
      </c>
      <c r="E981">
        <v>34</v>
      </c>
      <c r="F981">
        <v>13</v>
      </c>
      <c r="G981">
        <v>10.193991037085651</v>
      </c>
      <c r="H981" t="s">
        <v>648</v>
      </c>
      <c r="I981" t="s">
        <v>35</v>
      </c>
      <c r="J981">
        <v>0</v>
      </c>
      <c r="K981">
        <v>55</v>
      </c>
      <c r="L981" t="s">
        <v>595</v>
      </c>
      <c r="M981">
        <v>2375</v>
      </c>
      <c r="N981">
        <v>2.6572828758507971</v>
      </c>
      <c r="O981">
        <v>10.193991037085651</v>
      </c>
      <c r="P981">
        <v>3.35988506115973</v>
      </c>
      <c r="Q981">
        <v>15.72019388712943</v>
      </c>
      <c r="R981">
        <v>0</v>
      </c>
      <c r="S981" t="s">
        <v>565</v>
      </c>
      <c r="T981">
        <v>2020</v>
      </c>
      <c r="U981" s="1">
        <v>45901.600802198707</v>
      </c>
      <c r="V981" t="s">
        <v>32</v>
      </c>
      <c r="W981" t="s">
        <v>130</v>
      </c>
      <c r="X981">
        <v>1.2752610780906231</v>
      </c>
      <c r="Y981">
        <v>1.2752610780906231</v>
      </c>
      <c r="Z981">
        <v>2.8060089629143481</v>
      </c>
      <c r="AA981">
        <v>2.0842105263157902</v>
      </c>
      <c r="AB981">
        <v>0.3862986077211405</v>
      </c>
    </row>
    <row r="982" spans="1:28" x14ac:dyDescent="0.25">
      <c r="A982">
        <v>7</v>
      </c>
      <c r="B982">
        <v>34</v>
      </c>
      <c r="C982">
        <v>12</v>
      </c>
      <c r="D982">
        <v>6401</v>
      </c>
      <c r="E982">
        <v>52</v>
      </c>
      <c r="F982">
        <v>8</v>
      </c>
      <c r="G982">
        <v>10.267330329865221</v>
      </c>
      <c r="H982" t="s">
        <v>649</v>
      </c>
      <c r="I982" t="s">
        <v>35</v>
      </c>
      <c r="J982">
        <v>0</v>
      </c>
      <c r="K982">
        <v>80</v>
      </c>
      <c r="L982" t="s">
        <v>583</v>
      </c>
      <c r="M982">
        <v>2766</v>
      </c>
      <c r="N982">
        <v>6.9478613464161754</v>
      </c>
      <c r="O982">
        <v>13.30751882866025</v>
      </c>
      <c r="P982">
        <v>6.0414238721132278</v>
      </c>
      <c r="Q982">
        <v>19.292042423039671</v>
      </c>
      <c r="R982">
        <v>5</v>
      </c>
      <c r="S982" t="s">
        <v>565</v>
      </c>
      <c r="T982">
        <v>2020</v>
      </c>
      <c r="U982" s="1">
        <v>45901.600802198707</v>
      </c>
      <c r="V982" t="s">
        <v>32</v>
      </c>
      <c r="W982" t="s">
        <v>130</v>
      </c>
      <c r="X982">
        <v>0.90174585920222317</v>
      </c>
      <c r="Y982">
        <v>0.77917041168237355</v>
      </c>
      <c r="Z982">
        <v>-1.3075188286602499</v>
      </c>
      <c r="AA982">
        <v>2.6030368763557479</v>
      </c>
      <c r="AB982">
        <v>0.43299952804751363</v>
      </c>
    </row>
    <row r="983" spans="1:28" x14ac:dyDescent="0.25">
      <c r="A983">
        <v>3</v>
      </c>
      <c r="B983">
        <v>36</v>
      </c>
      <c r="C983">
        <v>12</v>
      </c>
      <c r="D983">
        <v>7746</v>
      </c>
      <c r="E983">
        <v>20</v>
      </c>
      <c r="F983">
        <v>9</v>
      </c>
      <c r="G983">
        <v>11.577337231487039</v>
      </c>
      <c r="H983" t="s">
        <v>650</v>
      </c>
      <c r="I983" t="s">
        <v>35</v>
      </c>
      <c r="J983">
        <v>0</v>
      </c>
      <c r="K983">
        <v>76</v>
      </c>
      <c r="L983" t="s">
        <v>574</v>
      </c>
      <c r="M983">
        <v>2559</v>
      </c>
      <c r="N983">
        <v>3.0456327013671398</v>
      </c>
      <c r="O983">
        <v>13.857619296759371</v>
      </c>
      <c r="P983">
        <v>2.1410755012184381</v>
      </c>
      <c r="Q983">
        <v>13.104358458891509</v>
      </c>
      <c r="R983">
        <v>1</v>
      </c>
      <c r="S983" t="s">
        <v>565</v>
      </c>
      <c r="T983">
        <v>2020</v>
      </c>
      <c r="U983" s="1">
        <v>45901.600802198707</v>
      </c>
      <c r="V983" t="s">
        <v>32</v>
      </c>
      <c r="W983" t="s">
        <v>130</v>
      </c>
      <c r="X983">
        <v>0.86594960815572586</v>
      </c>
      <c r="Y983">
        <v>0.7773808277366735</v>
      </c>
      <c r="Z983">
        <v>-1.857619296759369</v>
      </c>
      <c r="AA983">
        <v>2.6729191090269642</v>
      </c>
      <c r="AB983">
        <v>0.48737230820959088</v>
      </c>
    </row>
    <row r="984" spans="1:28" x14ac:dyDescent="0.25">
      <c r="A984">
        <v>5</v>
      </c>
      <c r="B984">
        <v>35</v>
      </c>
      <c r="C984">
        <v>11</v>
      </c>
      <c r="D984">
        <v>2549</v>
      </c>
      <c r="E984">
        <v>49</v>
      </c>
      <c r="F984">
        <v>4</v>
      </c>
      <c r="G984">
        <v>4.1594600230455399</v>
      </c>
      <c r="H984" t="s">
        <v>651</v>
      </c>
      <c r="I984" t="s">
        <v>35</v>
      </c>
      <c r="J984">
        <v>0</v>
      </c>
      <c r="K984">
        <v>52</v>
      </c>
      <c r="L984" t="s">
        <v>652</v>
      </c>
      <c r="M984">
        <v>2449</v>
      </c>
      <c r="N984">
        <v>6.8743210667744279</v>
      </c>
      <c r="O984">
        <v>11.000124274753031</v>
      </c>
      <c r="P984">
        <v>7.4436242245137691</v>
      </c>
      <c r="Q984">
        <v>14.133832322433589</v>
      </c>
      <c r="R984">
        <v>3</v>
      </c>
      <c r="S984" t="s">
        <v>565</v>
      </c>
      <c r="T984">
        <v>2020</v>
      </c>
      <c r="U984" s="1">
        <v>45901.600802198707</v>
      </c>
      <c r="V984" t="s">
        <v>32</v>
      </c>
      <c r="W984" t="s">
        <v>130</v>
      </c>
      <c r="X984">
        <v>0.99998870242281546</v>
      </c>
      <c r="Y984">
        <v>0.96166328750317354</v>
      </c>
      <c r="Z984">
        <v>-1.2427475303411481E-4</v>
      </c>
      <c r="AA984">
        <v>1.910984075132707</v>
      </c>
      <c r="AB984">
        <v>0.40425119833718792</v>
      </c>
    </row>
    <row r="985" spans="1:28" x14ac:dyDescent="0.25">
      <c r="A985">
        <v>4</v>
      </c>
      <c r="B985">
        <v>36</v>
      </c>
      <c r="C985">
        <v>10</v>
      </c>
      <c r="D985">
        <v>3475</v>
      </c>
      <c r="E985">
        <v>29</v>
      </c>
      <c r="F985">
        <v>10</v>
      </c>
      <c r="G985">
        <v>7.8860837975516924</v>
      </c>
      <c r="H985" t="s">
        <v>653</v>
      </c>
      <c r="I985" t="s">
        <v>35</v>
      </c>
      <c r="J985">
        <v>0</v>
      </c>
      <c r="K985">
        <v>71</v>
      </c>
      <c r="L985" t="s">
        <v>610</v>
      </c>
      <c r="M985">
        <v>2824</v>
      </c>
      <c r="N985">
        <v>3.4960446935147051</v>
      </c>
      <c r="O985">
        <v>7.8860837975516924</v>
      </c>
      <c r="P985">
        <v>2.7239127270877361</v>
      </c>
      <c r="Q985">
        <v>13.17706437502056</v>
      </c>
      <c r="R985">
        <v>5</v>
      </c>
      <c r="S985" t="s">
        <v>565</v>
      </c>
      <c r="T985">
        <v>2020</v>
      </c>
      <c r="U985" s="1">
        <v>45901.600802198707</v>
      </c>
      <c r="V985" t="s">
        <v>32</v>
      </c>
      <c r="W985" t="s">
        <v>130</v>
      </c>
      <c r="X985">
        <v>1.268056522948005</v>
      </c>
      <c r="Y985">
        <v>1.268056522948005</v>
      </c>
      <c r="Z985">
        <v>2.113916202448308</v>
      </c>
      <c r="AA985">
        <v>2.262747875354107</v>
      </c>
      <c r="AB985">
        <v>0.25132703320809208</v>
      </c>
    </row>
    <row r="986" spans="1:28" x14ac:dyDescent="0.25">
      <c r="A986">
        <v>1</v>
      </c>
      <c r="B986">
        <v>27</v>
      </c>
      <c r="C986">
        <v>10</v>
      </c>
      <c r="D986">
        <v>3738</v>
      </c>
      <c r="E986">
        <v>26</v>
      </c>
      <c r="F986">
        <v>9</v>
      </c>
      <c r="G986">
        <v>7.3852308318018913</v>
      </c>
      <c r="H986" t="s">
        <v>409</v>
      </c>
      <c r="I986" t="s">
        <v>29</v>
      </c>
      <c r="J986">
        <v>0</v>
      </c>
      <c r="K986">
        <v>52</v>
      </c>
      <c r="L986" t="s">
        <v>591</v>
      </c>
      <c r="M986">
        <v>1766</v>
      </c>
      <c r="N986">
        <v>2.8140995800495152</v>
      </c>
      <c r="O986">
        <v>8.1452578231692314</v>
      </c>
      <c r="P986">
        <v>1.848584910854697</v>
      </c>
      <c r="Q986">
        <v>8.8899820018559694</v>
      </c>
      <c r="R986">
        <v>3</v>
      </c>
      <c r="S986" t="s">
        <v>565</v>
      </c>
      <c r="T986">
        <v>2020</v>
      </c>
      <c r="U986" s="1">
        <v>45901.600802198707</v>
      </c>
      <c r="V986" t="s">
        <v>32</v>
      </c>
      <c r="W986" t="s">
        <v>130</v>
      </c>
      <c r="X986">
        <v>1.2277082220227511</v>
      </c>
      <c r="Y986">
        <v>1.2186484356378779</v>
      </c>
      <c r="Z986">
        <v>1.854742176830769</v>
      </c>
      <c r="AA986">
        <v>2.6500566251415631</v>
      </c>
      <c r="AB986">
        <v>0.41510373957261087</v>
      </c>
    </row>
    <row r="987" spans="1:28" x14ac:dyDescent="0.25">
      <c r="A987">
        <v>4</v>
      </c>
      <c r="B987">
        <v>38</v>
      </c>
      <c r="C987">
        <v>10</v>
      </c>
      <c r="D987">
        <v>5786</v>
      </c>
      <c r="E987">
        <v>29</v>
      </c>
      <c r="F987">
        <v>6</v>
      </c>
      <c r="G987">
        <v>9.5730375498533231</v>
      </c>
      <c r="H987" t="s">
        <v>169</v>
      </c>
      <c r="I987" t="s">
        <v>35</v>
      </c>
      <c r="J987">
        <v>0</v>
      </c>
      <c r="K987">
        <v>59</v>
      </c>
      <c r="L987" t="s">
        <v>578</v>
      </c>
      <c r="M987">
        <v>2693</v>
      </c>
      <c r="N987">
        <v>3.5753452135249968</v>
      </c>
      <c r="O987">
        <v>13.373511863872411</v>
      </c>
      <c r="P987">
        <v>3.5842560827732091</v>
      </c>
      <c r="Q987">
        <v>14.74466349929571</v>
      </c>
      <c r="R987">
        <v>2</v>
      </c>
      <c r="S987" t="s">
        <v>565</v>
      </c>
      <c r="T987">
        <v>2020</v>
      </c>
      <c r="U987" s="1">
        <v>45901.600802198707</v>
      </c>
      <c r="V987" t="s">
        <v>32</v>
      </c>
      <c r="W987" t="s">
        <v>130</v>
      </c>
      <c r="X987">
        <v>0.74774674758499959</v>
      </c>
      <c r="Y987">
        <v>0.62676031183978076</v>
      </c>
      <c r="Z987">
        <v>-3.3735118638724089</v>
      </c>
      <c r="AA987">
        <v>1.971778685480877</v>
      </c>
      <c r="AB987">
        <v>0.44694246852897018</v>
      </c>
    </row>
    <row r="988" spans="1:28" x14ac:dyDescent="0.25">
      <c r="A988">
        <v>3</v>
      </c>
      <c r="B988">
        <v>33</v>
      </c>
      <c r="C988">
        <v>10</v>
      </c>
      <c r="D988">
        <v>8702</v>
      </c>
      <c r="E988">
        <v>21</v>
      </c>
      <c r="F988">
        <v>10</v>
      </c>
      <c r="G988">
        <v>10.55318080820143</v>
      </c>
      <c r="H988" t="s">
        <v>654</v>
      </c>
      <c r="I988" t="s">
        <v>35</v>
      </c>
      <c r="J988">
        <v>0</v>
      </c>
      <c r="K988">
        <v>61</v>
      </c>
      <c r="L988" t="s">
        <v>564</v>
      </c>
      <c r="M988">
        <v>2033</v>
      </c>
      <c r="N988">
        <v>3.5567375924438238</v>
      </c>
      <c r="O988">
        <v>10.55318080820143</v>
      </c>
      <c r="P988">
        <v>6.8946636244654664</v>
      </c>
      <c r="Q988">
        <v>16.895797401666641</v>
      </c>
      <c r="R988">
        <v>4</v>
      </c>
      <c r="S988" t="s">
        <v>565</v>
      </c>
      <c r="T988">
        <v>2020</v>
      </c>
      <c r="U988" s="1">
        <v>45901.600802198707</v>
      </c>
      <c r="V988" t="s">
        <v>32</v>
      </c>
      <c r="W988" t="s">
        <v>130</v>
      </c>
      <c r="X988">
        <v>0.94758160423333915</v>
      </c>
      <c r="Y988">
        <v>0.94758160423333915</v>
      </c>
      <c r="Z988">
        <v>-0.55318080820143223</v>
      </c>
      <c r="AA988">
        <v>2.700442695523857</v>
      </c>
      <c r="AB988">
        <v>0.46718459062377221</v>
      </c>
    </row>
    <row r="989" spans="1:28" x14ac:dyDescent="0.25">
      <c r="A989">
        <v>17</v>
      </c>
      <c r="B989">
        <v>35</v>
      </c>
      <c r="C989">
        <v>29</v>
      </c>
      <c r="D989">
        <v>3423</v>
      </c>
      <c r="E989">
        <v>71</v>
      </c>
      <c r="F989">
        <v>25</v>
      </c>
      <c r="G989">
        <v>21.936828210949901</v>
      </c>
      <c r="H989" t="s">
        <v>312</v>
      </c>
      <c r="I989" t="s">
        <v>29</v>
      </c>
      <c r="J989">
        <v>0</v>
      </c>
      <c r="K989">
        <v>147</v>
      </c>
      <c r="L989" t="s">
        <v>568</v>
      </c>
      <c r="M989">
        <v>3040</v>
      </c>
      <c r="N989">
        <v>12.68674629740417</v>
      </c>
      <c r="O989">
        <v>24.97720888257027</v>
      </c>
      <c r="P989">
        <v>12.09408615343273</v>
      </c>
      <c r="Q989">
        <v>40.468101844191551</v>
      </c>
      <c r="R989">
        <v>10</v>
      </c>
      <c r="S989" t="s">
        <v>565</v>
      </c>
      <c r="T989">
        <v>2021</v>
      </c>
      <c r="U989" s="1">
        <v>45901.600802198707</v>
      </c>
      <c r="V989" t="s">
        <v>32</v>
      </c>
      <c r="W989" t="s">
        <v>138</v>
      </c>
      <c r="X989">
        <v>1.161058472799855</v>
      </c>
      <c r="Y989">
        <v>1.1396360385190549</v>
      </c>
      <c r="Z989">
        <v>4.0227911174297333</v>
      </c>
      <c r="AA989">
        <v>4.3519736842105257</v>
      </c>
      <c r="AB989">
        <v>0.73945684191819872</v>
      </c>
    </row>
    <row r="990" spans="1:28" x14ac:dyDescent="0.25">
      <c r="A990">
        <v>5</v>
      </c>
      <c r="B990">
        <v>37</v>
      </c>
      <c r="C990">
        <v>25</v>
      </c>
      <c r="D990">
        <v>3210</v>
      </c>
      <c r="E990">
        <v>32</v>
      </c>
      <c r="F990">
        <v>17</v>
      </c>
      <c r="G990">
        <v>12.93099627643824</v>
      </c>
      <c r="H990" t="s">
        <v>254</v>
      </c>
      <c r="I990" t="s">
        <v>29</v>
      </c>
      <c r="J990">
        <v>0</v>
      </c>
      <c r="K990">
        <v>72</v>
      </c>
      <c r="L990" t="s">
        <v>602</v>
      </c>
      <c r="M990">
        <v>2560</v>
      </c>
      <c r="N990">
        <v>6.077304377220571</v>
      </c>
      <c r="O990">
        <v>19.011751938611269</v>
      </c>
      <c r="P990">
        <v>4.6698481105268002</v>
      </c>
      <c r="Q990">
        <v>20.251938208006319</v>
      </c>
      <c r="R990">
        <v>3</v>
      </c>
      <c r="S990" t="s">
        <v>565</v>
      </c>
      <c r="T990">
        <v>2021</v>
      </c>
      <c r="U990" s="1">
        <v>45901.600802198707</v>
      </c>
      <c r="V990" t="s">
        <v>32</v>
      </c>
      <c r="W990" t="s">
        <v>138</v>
      </c>
      <c r="X990">
        <v>1.314976130591474</v>
      </c>
      <c r="Y990">
        <v>1.3146705510213439</v>
      </c>
      <c r="Z990">
        <v>5.988248061388731</v>
      </c>
      <c r="AA990">
        <v>2.53125</v>
      </c>
      <c r="AB990">
        <v>0.66838190409180243</v>
      </c>
    </row>
    <row r="991" spans="1:28" x14ac:dyDescent="0.25">
      <c r="A991">
        <v>3</v>
      </c>
      <c r="B991">
        <v>37</v>
      </c>
      <c r="C991">
        <v>21</v>
      </c>
      <c r="D991">
        <v>5611</v>
      </c>
      <c r="E991">
        <v>42</v>
      </c>
      <c r="F991">
        <v>19</v>
      </c>
      <c r="G991">
        <v>13.54077667742968</v>
      </c>
      <c r="H991" t="s">
        <v>655</v>
      </c>
      <c r="I991" t="s">
        <v>49</v>
      </c>
      <c r="J991">
        <v>0</v>
      </c>
      <c r="K991">
        <v>88</v>
      </c>
      <c r="L991" t="s">
        <v>591</v>
      </c>
      <c r="M991">
        <v>2836</v>
      </c>
      <c r="N991">
        <v>5.016157285310328</v>
      </c>
      <c r="O991">
        <v>15.060965828597549</v>
      </c>
      <c r="P991">
        <v>10.825361002236599</v>
      </c>
      <c r="Q991">
        <v>24.810452205128971</v>
      </c>
      <c r="R991">
        <v>1</v>
      </c>
      <c r="S991" t="s">
        <v>565</v>
      </c>
      <c r="T991">
        <v>2021</v>
      </c>
      <c r="U991" s="1">
        <v>45901.600802198707</v>
      </c>
      <c r="V991" t="s">
        <v>32</v>
      </c>
      <c r="W991" t="s">
        <v>138</v>
      </c>
      <c r="X991">
        <v>1.394332889337383</v>
      </c>
      <c r="Y991">
        <v>1.4031691425551669</v>
      </c>
      <c r="Z991">
        <v>5.9390341714024544</v>
      </c>
      <c r="AA991">
        <v>2.792665726375176</v>
      </c>
      <c r="AB991">
        <v>0.47795730767763722</v>
      </c>
    </row>
    <row r="992" spans="1:28" x14ac:dyDescent="0.25">
      <c r="A992">
        <v>4</v>
      </c>
      <c r="B992">
        <v>30</v>
      </c>
      <c r="C992">
        <v>21</v>
      </c>
      <c r="D992">
        <v>7142</v>
      </c>
      <c r="E992">
        <v>28</v>
      </c>
      <c r="F992">
        <v>16</v>
      </c>
      <c r="G992">
        <v>18.830960459075872</v>
      </c>
      <c r="H992" t="s">
        <v>630</v>
      </c>
      <c r="I992" t="s">
        <v>29</v>
      </c>
      <c r="J992">
        <v>0</v>
      </c>
      <c r="K992">
        <v>87</v>
      </c>
      <c r="L992" t="s">
        <v>564</v>
      </c>
      <c r="M992">
        <v>2220</v>
      </c>
      <c r="N992">
        <v>3.8388696853071451</v>
      </c>
      <c r="O992">
        <v>22.631302527151998</v>
      </c>
      <c r="P992">
        <v>3.5196638032793999</v>
      </c>
      <c r="Q992">
        <v>22.41241581179202</v>
      </c>
      <c r="R992">
        <v>6</v>
      </c>
      <c r="S992" t="s">
        <v>565</v>
      </c>
      <c r="T992">
        <v>2021</v>
      </c>
      <c r="U992" s="1">
        <v>45901.600802198707</v>
      </c>
      <c r="V992" t="s">
        <v>32</v>
      </c>
      <c r="W992" t="s">
        <v>138</v>
      </c>
      <c r="X992">
        <v>0.92791831026098315</v>
      </c>
      <c r="Y992">
        <v>0.8496645741873754</v>
      </c>
      <c r="Z992">
        <v>-1.6313025271519981</v>
      </c>
      <c r="AA992">
        <v>3.5270270270270272</v>
      </c>
      <c r="AB992">
        <v>0.91748523758724321</v>
      </c>
    </row>
    <row r="993" spans="1:28" x14ac:dyDescent="0.25">
      <c r="A993">
        <v>3</v>
      </c>
      <c r="B993">
        <v>35</v>
      </c>
      <c r="C993">
        <v>18</v>
      </c>
      <c r="D993">
        <v>3530</v>
      </c>
      <c r="E993">
        <v>39</v>
      </c>
      <c r="F993">
        <v>15</v>
      </c>
      <c r="G993">
        <v>14.9200870487839</v>
      </c>
      <c r="H993" t="s">
        <v>592</v>
      </c>
      <c r="I993" t="s">
        <v>29</v>
      </c>
      <c r="J993">
        <v>0</v>
      </c>
      <c r="K993">
        <v>114</v>
      </c>
      <c r="L993" t="s">
        <v>656</v>
      </c>
      <c r="M993">
        <v>2730</v>
      </c>
      <c r="N993">
        <v>5.3948315633460879</v>
      </c>
      <c r="O993">
        <v>17.200313100591298</v>
      </c>
      <c r="P993">
        <v>3.3958356585353608</v>
      </c>
      <c r="Q993">
        <v>19.789531053975221</v>
      </c>
      <c r="R993">
        <v>3</v>
      </c>
      <c r="S993" t="s">
        <v>565</v>
      </c>
      <c r="T993">
        <v>2021</v>
      </c>
      <c r="U993" s="1">
        <v>45901.600802198707</v>
      </c>
      <c r="V993" t="s">
        <v>32</v>
      </c>
      <c r="W993" t="s">
        <v>138</v>
      </c>
      <c r="X993">
        <v>1.0464925780555241</v>
      </c>
      <c r="Y993">
        <v>1.005356064676755</v>
      </c>
      <c r="Z993">
        <v>0.79968689940869808</v>
      </c>
      <c r="AA993">
        <v>3.7582417582417582</v>
      </c>
      <c r="AB993">
        <v>0.56704328903048251</v>
      </c>
    </row>
    <row r="994" spans="1:28" x14ac:dyDescent="0.25">
      <c r="A994">
        <v>8</v>
      </c>
      <c r="B994">
        <v>38</v>
      </c>
      <c r="C994">
        <v>15</v>
      </c>
      <c r="D994">
        <v>3746</v>
      </c>
      <c r="E994">
        <v>40</v>
      </c>
      <c r="F994">
        <v>13</v>
      </c>
      <c r="G994">
        <v>17.450448755174879</v>
      </c>
      <c r="H994" t="s">
        <v>634</v>
      </c>
      <c r="I994" t="s">
        <v>35</v>
      </c>
      <c r="J994">
        <v>0</v>
      </c>
      <c r="K994">
        <v>102</v>
      </c>
      <c r="L994" t="s">
        <v>657</v>
      </c>
      <c r="M994">
        <v>3093</v>
      </c>
      <c r="N994">
        <v>6.5710887657478452</v>
      </c>
      <c r="O994">
        <v>18.97063868120313</v>
      </c>
      <c r="P994">
        <v>5.1785488054156303</v>
      </c>
      <c r="Q994">
        <v>25.322709087282419</v>
      </c>
      <c r="R994">
        <v>2</v>
      </c>
      <c r="S994" t="s">
        <v>565</v>
      </c>
      <c r="T994">
        <v>2021</v>
      </c>
      <c r="U994" s="1">
        <v>45901.600802198707</v>
      </c>
      <c r="V994" t="s">
        <v>32</v>
      </c>
      <c r="W994" t="s">
        <v>138</v>
      </c>
      <c r="X994">
        <v>0.79069557182925021</v>
      </c>
      <c r="Y994">
        <v>0.74496651532499369</v>
      </c>
      <c r="Z994">
        <v>-3.9706386812031269</v>
      </c>
      <c r="AA994">
        <v>2.967992240543162</v>
      </c>
      <c r="AB994">
        <v>0.55200694513685145</v>
      </c>
    </row>
    <row r="995" spans="1:28" x14ac:dyDescent="0.25">
      <c r="A995">
        <v>0</v>
      </c>
      <c r="B995">
        <v>38</v>
      </c>
      <c r="C995">
        <v>15</v>
      </c>
      <c r="D995">
        <v>8636</v>
      </c>
      <c r="E995">
        <v>34</v>
      </c>
      <c r="F995">
        <v>13</v>
      </c>
      <c r="G995">
        <v>12.39485676959157</v>
      </c>
      <c r="H995" t="s">
        <v>648</v>
      </c>
      <c r="I995" t="s">
        <v>29</v>
      </c>
      <c r="J995">
        <v>0</v>
      </c>
      <c r="K995">
        <v>69</v>
      </c>
      <c r="L995" t="s">
        <v>595</v>
      </c>
      <c r="M995">
        <v>2824</v>
      </c>
      <c r="N995">
        <v>2.9130951007828121</v>
      </c>
      <c r="O995">
        <v>14.67513959482312</v>
      </c>
      <c r="P995">
        <v>4.6628015078604221</v>
      </c>
      <c r="Q995">
        <v>18.18948574736714</v>
      </c>
      <c r="R995">
        <v>3</v>
      </c>
      <c r="S995" t="s">
        <v>565</v>
      </c>
      <c r="T995">
        <v>2021</v>
      </c>
      <c r="U995" s="1">
        <v>45901.600802198707</v>
      </c>
      <c r="V995" t="s">
        <v>32</v>
      </c>
      <c r="W995" t="s">
        <v>138</v>
      </c>
      <c r="X995">
        <v>1.0221367846675531</v>
      </c>
      <c r="Y995">
        <v>1.048822123696745</v>
      </c>
      <c r="Z995">
        <v>0.32486040517687798</v>
      </c>
      <c r="AA995">
        <v>2.1990084985835701</v>
      </c>
      <c r="AB995">
        <v>0.4676921258973375</v>
      </c>
    </row>
    <row r="996" spans="1:28" x14ac:dyDescent="0.25">
      <c r="A996">
        <v>5</v>
      </c>
      <c r="B996">
        <v>32</v>
      </c>
      <c r="C996">
        <v>14</v>
      </c>
      <c r="D996">
        <v>9646</v>
      </c>
      <c r="E996">
        <v>31</v>
      </c>
      <c r="F996">
        <v>12</v>
      </c>
      <c r="G996">
        <v>11.53770784288645</v>
      </c>
      <c r="H996" t="s">
        <v>658</v>
      </c>
      <c r="I996" t="s">
        <v>29</v>
      </c>
      <c r="J996">
        <v>0</v>
      </c>
      <c r="K996">
        <v>65</v>
      </c>
      <c r="L996" t="s">
        <v>659</v>
      </c>
      <c r="M996">
        <v>2442</v>
      </c>
      <c r="N996">
        <v>3.973723236471415</v>
      </c>
      <c r="O996">
        <v>13.817994877696041</v>
      </c>
      <c r="P996">
        <v>2.1403016103431578</v>
      </c>
      <c r="Q996">
        <v>14.73148219659924</v>
      </c>
      <c r="R996">
        <v>1</v>
      </c>
      <c r="S996" t="s">
        <v>565</v>
      </c>
      <c r="T996">
        <v>2021</v>
      </c>
      <c r="U996" s="1">
        <v>45901.600802198707</v>
      </c>
      <c r="V996" t="s">
        <v>32</v>
      </c>
      <c r="W996" t="s">
        <v>138</v>
      </c>
      <c r="X996">
        <v>1.0131716015177969</v>
      </c>
      <c r="Y996">
        <v>1.0400679375321999</v>
      </c>
      <c r="Z996">
        <v>0.18200512230396451</v>
      </c>
      <c r="AA996">
        <v>2.395577395577396</v>
      </c>
      <c r="AB996">
        <v>0.50926271048019789</v>
      </c>
    </row>
    <row r="997" spans="1:28" x14ac:dyDescent="0.25">
      <c r="A997">
        <v>6</v>
      </c>
      <c r="B997">
        <v>22</v>
      </c>
      <c r="C997">
        <v>13</v>
      </c>
      <c r="D997">
        <v>2099</v>
      </c>
      <c r="E997">
        <v>61</v>
      </c>
      <c r="F997">
        <v>10</v>
      </c>
      <c r="G997">
        <v>8.6953621562570333</v>
      </c>
      <c r="H997" t="s">
        <v>199</v>
      </c>
      <c r="I997" t="s">
        <v>49</v>
      </c>
      <c r="J997">
        <v>0</v>
      </c>
      <c r="K997">
        <v>54</v>
      </c>
      <c r="L997" t="s">
        <v>568</v>
      </c>
      <c r="M997">
        <v>1877</v>
      </c>
      <c r="N997">
        <v>8.7395924748852849</v>
      </c>
      <c r="O997">
        <v>11.735738188028339</v>
      </c>
      <c r="P997">
        <v>12.03747169673443</v>
      </c>
      <c r="Q997">
        <v>25.08594012260437</v>
      </c>
      <c r="R997">
        <v>10</v>
      </c>
      <c r="S997" t="s">
        <v>565</v>
      </c>
      <c r="T997">
        <v>2021</v>
      </c>
      <c r="U997" s="1">
        <v>45901.600802198707</v>
      </c>
      <c r="V997" t="s">
        <v>32</v>
      </c>
      <c r="W997" t="s">
        <v>138</v>
      </c>
      <c r="X997">
        <v>1.1077275065032841</v>
      </c>
      <c r="Y997">
        <v>1.150038356114262</v>
      </c>
      <c r="Z997">
        <v>1.264261811971664</v>
      </c>
      <c r="AA997">
        <v>2.5892381459776241</v>
      </c>
      <c r="AB997">
        <v>0.56271520347498682</v>
      </c>
    </row>
    <row r="998" spans="1:28" x14ac:dyDescent="0.25">
      <c r="A998">
        <v>11</v>
      </c>
      <c r="B998">
        <v>31</v>
      </c>
      <c r="C998">
        <v>12</v>
      </c>
      <c r="D998">
        <v>536</v>
      </c>
      <c r="E998">
        <v>99</v>
      </c>
      <c r="F998">
        <v>5</v>
      </c>
      <c r="G998">
        <v>4.903780868742615</v>
      </c>
      <c r="H998" t="s">
        <v>660</v>
      </c>
      <c r="I998" t="s">
        <v>35</v>
      </c>
      <c r="J998">
        <v>0</v>
      </c>
      <c r="K998">
        <v>68</v>
      </c>
      <c r="L998" t="s">
        <v>567</v>
      </c>
      <c r="M998">
        <v>2599</v>
      </c>
      <c r="N998">
        <v>10.594417411834</v>
      </c>
      <c r="O998">
        <v>10.224445840809491</v>
      </c>
      <c r="P998">
        <v>9.4675055425614119</v>
      </c>
      <c r="Q998">
        <v>18.840970885008581</v>
      </c>
      <c r="R998">
        <v>3</v>
      </c>
      <c r="S998" t="s">
        <v>565</v>
      </c>
      <c r="T998">
        <v>2021</v>
      </c>
      <c r="U998" s="1">
        <v>45901.600802198707</v>
      </c>
      <c r="V998" t="s">
        <v>32</v>
      </c>
      <c r="W998" t="s">
        <v>138</v>
      </c>
      <c r="X998">
        <v>1.17365774016853</v>
      </c>
      <c r="Y998">
        <v>1.019621417398705</v>
      </c>
      <c r="Z998">
        <v>1.775554159190506</v>
      </c>
      <c r="AA998">
        <v>2.3547518276260102</v>
      </c>
      <c r="AB998">
        <v>0.35405930191337232</v>
      </c>
    </row>
    <row r="999" spans="1:28" x14ac:dyDescent="0.25">
      <c r="A999">
        <v>5</v>
      </c>
      <c r="B999">
        <v>30</v>
      </c>
      <c r="C999">
        <v>12</v>
      </c>
      <c r="D999">
        <v>5657</v>
      </c>
      <c r="E999">
        <v>39</v>
      </c>
      <c r="F999">
        <v>10</v>
      </c>
      <c r="G999">
        <v>10.40890761464834</v>
      </c>
      <c r="H999" t="s">
        <v>280</v>
      </c>
      <c r="I999" t="s">
        <v>35</v>
      </c>
      <c r="J999">
        <v>0</v>
      </c>
      <c r="K999">
        <v>76</v>
      </c>
      <c r="L999" t="s">
        <v>564</v>
      </c>
      <c r="M999">
        <v>2312</v>
      </c>
      <c r="N999">
        <v>5.7932254318147898</v>
      </c>
      <c r="O999">
        <v>11.929097674787039</v>
      </c>
      <c r="P999">
        <v>7.5305136796087027</v>
      </c>
      <c r="Q999">
        <v>21.26668992638588</v>
      </c>
      <c r="R999">
        <v>3</v>
      </c>
      <c r="S999" t="s">
        <v>565</v>
      </c>
      <c r="T999">
        <v>2021</v>
      </c>
      <c r="U999" s="1">
        <v>45901.600802198707</v>
      </c>
      <c r="V999" t="s">
        <v>32</v>
      </c>
      <c r="W999" t="s">
        <v>138</v>
      </c>
      <c r="X999">
        <v>1.005943645290357</v>
      </c>
      <c r="Y999">
        <v>0.96071560726767424</v>
      </c>
      <c r="Z999">
        <v>7.0902325212955475E-2</v>
      </c>
      <c r="AA999">
        <v>2.9584775086505188</v>
      </c>
      <c r="AB999">
        <v>0.46436798907042992</v>
      </c>
    </row>
    <row r="1000" spans="1:28" x14ac:dyDescent="0.25">
      <c r="A1000">
        <v>4</v>
      </c>
      <c r="B1000">
        <v>36</v>
      </c>
      <c r="C1000">
        <v>12</v>
      </c>
      <c r="D1000">
        <v>5743</v>
      </c>
      <c r="E1000">
        <v>41</v>
      </c>
      <c r="F1000">
        <v>12</v>
      </c>
      <c r="G1000">
        <v>11.18252938054502</v>
      </c>
      <c r="H1000" t="s">
        <v>407</v>
      </c>
      <c r="I1000" t="s">
        <v>35</v>
      </c>
      <c r="J1000">
        <v>0</v>
      </c>
      <c r="K1000">
        <v>56</v>
      </c>
      <c r="L1000" t="s">
        <v>610</v>
      </c>
      <c r="M1000">
        <v>2970</v>
      </c>
      <c r="N1000">
        <v>4.523487389087677</v>
      </c>
      <c r="O1000">
        <v>11.18252938054502</v>
      </c>
      <c r="P1000">
        <v>2.059402228333056</v>
      </c>
      <c r="Q1000">
        <v>16.16262821294367</v>
      </c>
      <c r="R1000">
        <v>2</v>
      </c>
      <c r="S1000" t="s">
        <v>565</v>
      </c>
      <c r="T1000">
        <v>2021</v>
      </c>
      <c r="U1000" s="1">
        <v>45901.600802198707</v>
      </c>
      <c r="V1000" t="s">
        <v>32</v>
      </c>
      <c r="W1000" t="s">
        <v>138</v>
      </c>
      <c r="X1000">
        <v>1.07310247902207</v>
      </c>
      <c r="Y1000">
        <v>1.07310247902207</v>
      </c>
      <c r="Z1000">
        <v>0.8174706194549799</v>
      </c>
      <c r="AA1000">
        <v>1.696969696969697</v>
      </c>
      <c r="AB1000">
        <v>0.3388645266831824</v>
      </c>
    </row>
    <row r="1001" spans="1:28" x14ac:dyDescent="0.25">
      <c r="A1001">
        <v>8</v>
      </c>
      <c r="B1001">
        <v>36</v>
      </c>
      <c r="C1001">
        <v>12</v>
      </c>
      <c r="D1001">
        <v>6905</v>
      </c>
      <c r="E1001">
        <v>46</v>
      </c>
      <c r="F1001">
        <v>9</v>
      </c>
      <c r="G1001">
        <v>10.26242437958717</v>
      </c>
      <c r="H1001" t="s">
        <v>644</v>
      </c>
      <c r="I1001" t="s">
        <v>29</v>
      </c>
      <c r="J1001">
        <v>1</v>
      </c>
      <c r="K1001">
        <v>60</v>
      </c>
      <c r="L1001" t="s">
        <v>645</v>
      </c>
      <c r="M1001">
        <v>2760</v>
      </c>
      <c r="N1001">
        <v>6.8157395832240582</v>
      </c>
      <c r="O1001">
        <v>12.54270940274</v>
      </c>
      <c r="P1001">
        <v>5.0244528297334909</v>
      </c>
      <c r="Q1001">
        <v>18.562584768980742</v>
      </c>
      <c r="R1001">
        <v>5</v>
      </c>
      <c r="S1001" t="s">
        <v>565</v>
      </c>
      <c r="T1001">
        <v>2021</v>
      </c>
      <c r="U1001" s="1">
        <v>45901.600802198707</v>
      </c>
      <c r="V1001" t="s">
        <v>32</v>
      </c>
      <c r="W1001" t="s">
        <v>138</v>
      </c>
      <c r="X1001">
        <v>0.95673108693553521</v>
      </c>
      <c r="Y1001">
        <v>0.87698575571497117</v>
      </c>
      <c r="Z1001">
        <v>-0.54270940274000168</v>
      </c>
      <c r="AA1001">
        <v>1.956521739130435</v>
      </c>
      <c r="AB1001">
        <v>0.40900139356760867</v>
      </c>
    </row>
    <row r="1002" spans="1:28" x14ac:dyDescent="0.25">
      <c r="A1002">
        <v>0</v>
      </c>
      <c r="B1002">
        <v>34</v>
      </c>
      <c r="C1002">
        <v>12</v>
      </c>
      <c r="D1002">
        <v>8056</v>
      </c>
      <c r="E1002">
        <v>21</v>
      </c>
      <c r="F1002">
        <v>10</v>
      </c>
      <c r="G1002">
        <v>7.2811616780236363</v>
      </c>
      <c r="H1002" t="s">
        <v>661</v>
      </c>
      <c r="I1002" t="s">
        <v>29</v>
      </c>
      <c r="J1002">
        <v>1</v>
      </c>
      <c r="K1002">
        <v>61</v>
      </c>
      <c r="L1002" t="s">
        <v>662</v>
      </c>
      <c r="M1002">
        <v>2190</v>
      </c>
      <c r="N1002">
        <v>1.8022303748875861</v>
      </c>
      <c r="O1002">
        <v>8.8013557465746999</v>
      </c>
      <c r="P1002">
        <v>2.4536013957113032</v>
      </c>
      <c r="Q1002">
        <v>10.75290992017835</v>
      </c>
      <c r="R1002">
        <v>1</v>
      </c>
      <c r="S1002" t="s">
        <v>565</v>
      </c>
      <c r="T1002">
        <v>2021</v>
      </c>
      <c r="U1002" s="1">
        <v>45901.600802198707</v>
      </c>
      <c r="V1002" t="s">
        <v>32</v>
      </c>
      <c r="W1002" t="s">
        <v>138</v>
      </c>
      <c r="X1002">
        <v>1.363426311300977</v>
      </c>
      <c r="Y1002">
        <v>1.373407217447526</v>
      </c>
      <c r="Z1002">
        <v>3.1986442534253001</v>
      </c>
      <c r="AA1002">
        <v>2.506849315068493</v>
      </c>
      <c r="AB1002">
        <v>0.36169955122909719</v>
      </c>
    </row>
    <row r="1003" spans="1:28" x14ac:dyDescent="0.25">
      <c r="A1003">
        <v>3</v>
      </c>
      <c r="B1003">
        <v>35</v>
      </c>
      <c r="C1003">
        <v>11</v>
      </c>
      <c r="D1003">
        <v>2442</v>
      </c>
      <c r="E1003">
        <v>28</v>
      </c>
      <c r="F1003">
        <v>10</v>
      </c>
      <c r="G1003">
        <v>12.46999242343008</v>
      </c>
      <c r="H1003" t="s">
        <v>235</v>
      </c>
      <c r="I1003" t="s">
        <v>35</v>
      </c>
      <c r="J1003">
        <v>0</v>
      </c>
      <c r="K1003">
        <v>69</v>
      </c>
      <c r="L1003" t="s">
        <v>645</v>
      </c>
      <c r="M1003">
        <v>2415</v>
      </c>
      <c r="N1003">
        <v>2.5066994978114958</v>
      </c>
      <c r="O1003">
        <v>14.75027732737362</v>
      </c>
      <c r="P1003">
        <v>5.595181668177247</v>
      </c>
      <c r="Q1003">
        <v>18.37097854912281</v>
      </c>
      <c r="R1003">
        <v>0</v>
      </c>
      <c r="S1003" t="s">
        <v>565</v>
      </c>
      <c r="T1003">
        <v>2021</v>
      </c>
      <c r="U1003" s="1">
        <v>45901.600802198707</v>
      </c>
      <c r="V1003" t="s">
        <v>32</v>
      </c>
      <c r="W1003" t="s">
        <v>138</v>
      </c>
      <c r="X1003">
        <v>0.74574869040503777</v>
      </c>
      <c r="Y1003">
        <v>0.80192510632250491</v>
      </c>
      <c r="Z1003">
        <v>-3.7502773273736238</v>
      </c>
      <c r="AA1003">
        <v>2.5714285714285712</v>
      </c>
      <c r="AB1003">
        <v>0.54969977617541455</v>
      </c>
    </row>
    <row r="1004" spans="1:28" x14ac:dyDescent="0.25">
      <c r="A1004">
        <v>12</v>
      </c>
      <c r="B1004">
        <v>38</v>
      </c>
      <c r="C1004">
        <v>11</v>
      </c>
      <c r="D1004">
        <v>4773</v>
      </c>
      <c r="E1004">
        <v>122</v>
      </c>
      <c r="F1004">
        <v>11</v>
      </c>
      <c r="G1004">
        <v>5.4318645121529698</v>
      </c>
      <c r="H1004" t="s">
        <v>629</v>
      </c>
      <c r="I1004" t="s">
        <v>49</v>
      </c>
      <c r="J1004">
        <v>0</v>
      </c>
      <c r="K1004">
        <v>51</v>
      </c>
      <c r="L1004" t="s">
        <v>591</v>
      </c>
      <c r="M1004">
        <v>3245</v>
      </c>
      <c r="N1004">
        <v>12.78649658616632</v>
      </c>
      <c r="O1004">
        <v>5.4318645121529698</v>
      </c>
      <c r="P1004">
        <v>14.15143519826233</v>
      </c>
      <c r="Q1004">
        <v>23.919712318107489</v>
      </c>
      <c r="R1004">
        <v>2</v>
      </c>
      <c r="S1004" t="s">
        <v>565</v>
      </c>
      <c r="T1004">
        <v>2021</v>
      </c>
      <c r="U1004" s="1">
        <v>45901.600802198707</v>
      </c>
      <c r="V1004" t="s">
        <v>32</v>
      </c>
      <c r="W1004" t="s">
        <v>138</v>
      </c>
      <c r="X1004">
        <v>2.025087329661698</v>
      </c>
      <c r="Y1004">
        <v>2.025087329661698</v>
      </c>
      <c r="Z1004">
        <v>5.5681354878470302</v>
      </c>
      <c r="AA1004">
        <v>1.414483821263482</v>
      </c>
      <c r="AB1004">
        <v>0.1506526367006987</v>
      </c>
    </row>
    <row r="1005" spans="1:28" x14ac:dyDescent="0.25">
      <c r="A1005">
        <v>1</v>
      </c>
      <c r="B1005">
        <v>31</v>
      </c>
      <c r="C1005">
        <v>11</v>
      </c>
      <c r="D1005">
        <v>5769</v>
      </c>
      <c r="E1005">
        <v>15</v>
      </c>
      <c r="F1005">
        <v>9</v>
      </c>
      <c r="G1005">
        <v>9.3628107737749797</v>
      </c>
      <c r="H1005" t="s">
        <v>641</v>
      </c>
      <c r="I1005" t="s">
        <v>29</v>
      </c>
      <c r="J1005">
        <v>0</v>
      </c>
      <c r="K1005">
        <v>54</v>
      </c>
      <c r="L1005" t="s">
        <v>645</v>
      </c>
      <c r="M1005">
        <v>1519</v>
      </c>
      <c r="N1005">
        <v>3.3782703839242458</v>
      </c>
      <c r="O1005">
        <v>10.883001787588</v>
      </c>
      <c r="P1005">
        <v>2.677318580448627</v>
      </c>
      <c r="Q1005">
        <v>12.015189943835139</v>
      </c>
      <c r="R1005">
        <v>2</v>
      </c>
      <c r="S1005" t="s">
        <v>565</v>
      </c>
      <c r="T1005">
        <v>2021</v>
      </c>
      <c r="U1005" s="1">
        <v>45901.600802198707</v>
      </c>
      <c r="V1005" t="s">
        <v>32</v>
      </c>
      <c r="W1005" t="s">
        <v>138</v>
      </c>
      <c r="X1005">
        <v>1.010750546098911</v>
      </c>
      <c r="Y1005">
        <v>0.96124980173782804</v>
      </c>
      <c r="Z1005">
        <v>0.1169982124119997</v>
      </c>
      <c r="AA1005">
        <v>3.199473337722186</v>
      </c>
      <c r="AB1005">
        <v>0.6448124824772351</v>
      </c>
    </row>
    <row r="1006" spans="1:28" x14ac:dyDescent="0.25">
      <c r="A1006">
        <v>2</v>
      </c>
      <c r="B1006">
        <v>32</v>
      </c>
      <c r="C1006">
        <v>11</v>
      </c>
      <c r="D1006">
        <v>7746</v>
      </c>
      <c r="E1006">
        <v>12</v>
      </c>
      <c r="F1006">
        <v>11</v>
      </c>
      <c r="G1006">
        <v>8.264751048758626</v>
      </c>
      <c r="H1006" t="s">
        <v>650</v>
      </c>
      <c r="I1006" t="s">
        <v>35</v>
      </c>
      <c r="J1006">
        <v>0</v>
      </c>
      <c r="K1006">
        <v>54</v>
      </c>
      <c r="L1006" t="s">
        <v>574</v>
      </c>
      <c r="M1006">
        <v>2552</v>
      </c>
      <c r="N1006">
        <v>1.4752803109586241</v>
      </c>
      <c r="O1006">
        <v>8.264751048758626</v>
      </c>
      <c r="P1006">
        <v>1.2997122202068569</v>
      </c>
      <c r="Q1006">
        <v>10.207339851185679</v>
      </c>
      <c r="R1006">
        <v>3</v>
      </c>
      <c r="S1006" t="s">
        <v>565</v>
      </c>
      <c r="T1006">
        <v>2021</v>
      </c>
      <c r="U1006" s="1">
        <v>45901.600802198707</v>
      </c>
      <c r="V1006" t="s">
        <v>32</v>
      </c>
      <c r="W1006" t="s">
        <v>138</v>
      </c>
      <c r="X1006">
        <v>1.3309535804653441</v>
      </c>
      <c r="Y1006">
        <v>1.3309535804653441</v>
      </c>
      <c r="Z1006">
        <v>2.735248951241374</v>
      </c>
      <c r="AA1006">
        <v>1.9043887147335421</v>
      </c>
      <c r="AB1006">
        <v>0.29146849309885442</v>
      </c>
    </row>
    <row r="1007" spans="1:28" x14ac:dyDescent="0.25">
      <c r="A1007">
        <v>0</v>
      </c>
      <c r="B1007">
        <v>30</v>
      </c>
      <c r="C1007">
        <v>10</v>
      </c>
      <c r="D1007">
        <v>734</v>
      </c>
      <c r="E1007">
        <v>32</v>
      </c>
      <c r="F1007">
        <v>6</v>
      </c>
      <c r="G1007">
        <v>4.4536816766485572</v>
      </c>
      <c r="H1007" t="s">
        <v>631</v>
      </c>
      <c r="I1007" t="s">
        <v>35</v>
      </c>
      <c r="J1007">
        <v>0</v>
      </c>
      <c r="K1007">
        <v>72</v>
      </c>
      <c r="L1007" t="s">
        <v>570</v>
      </c>
      <c r="M1007">
        <v>2258</v>
      </c>
      <c r="N1007">
        <v>3.2554558115079999</v>
      </c>
      <c r="O1007">
        <v>7.4940591929480433</v>
      </c>
      <c r="P1007">
        <v>2.1554157109931111</v>
      </c>
      <c r="Q1007">
        <v>7.8746081702411166</v>
      </c>
      <c r="R1007">
        <v>6</v>
      </c>
      <c r="S1007" t="s">
        <v>565</v>
      </c>
      <c r="T1007">
        <v>2021</v>
      </c>
      <c r="U1007" s="1">
        <v>45901.600802198707</v>
      </c>
      <c r="V1007" t="s">
        <v>32</v>
      </c>
      <c r="W1007" t="s">
        <v>138</v>
      </c>
      <c r="X1007">
        <v>1.3343903140517039</v>
      </c>
      <c r="Y1007">
        <v>1.3472000101531869</v>
      </c>
      <c r="Z1007">
        <v>2.5059408070519571</v>
      </c>
      <c r="AA1007">
        <v>2.8697962798937109</v>
      </c>
      <c r="AB1007">
        <v>0.2987003221281328</v>
      </c>
    </row>
    <row r="1008" spans="1:28" x14ac:dyDescent="0.25">
      <c r="A1008">
        <v>5</v>
      </c>
      <c r="B1008">
        <v>35</v>
      </c>
      <c r="C1008">
        <v>10</v>
      </c>
      <c r="D1008">
        <v>3475</v>
      </c>
      <c r="E1008">
        <v>41</v>
      </c>
      <c r="F1008">
        <v>5</v>
      </c>
      <c r="G1008">
        <v>7.3442970793694258</v>
      </c>
      <c r="H1008" t="s">
        <v>653</v>
      </c>
      <c r="I1008" t="s">
        <v>49</v>
      </c>
      <c r="J1008">
        <v>0</v>
      </c>
      <c r="K1008">
        <v>90</v>
      </c>
      <c r="L1008" t="s">
        <v>610</v>
      </c>
      <c r="M1008">
        <v>2993</v>
      </c>
      <c r="N1008">
        <v>3.9845828050747518</v>
      </c>
      <c r="O1008">
        <v>11.14477680437267</v>
      </c>
      <c r="P1008">
        <v>6.7304702568799257</v>
      </c>
      <c r="Q1008">
        <v>16.08773048222065</v>
      </c>
      <c r="R1008">
        <v>10</v>
      </c>
      <c r="S1008" t="s">
        <v>565</v>
      </c>
      <c r="T1008">
        <v>2021</v>
      </c>
      <c r="U1008" s="1">
        <v>45901.600802198707</v>
      </c>
      <c r="V1008" t="s">
        <v>32</v>
      </c>
      <c r="W1008" t="s">
        <v>138</v>
      </c>
      <c r="X1008">
        <v>0.89728131621949458</v>
      </c>
      <c r="Y1008">
        <v>0.68080034698559544</v>
      </c>
      <c r="Z1008">
        <v>-1.144776804372668</v>
      </c>
      <c r="AA1008">
        <v>2.706314734380221</v>
      </c>
      <c r="AB1008">
        <v>0.33512526307836288</v>
      </c>
    </row>
    <row r="1009" spans="1:28" x14ac:dyDescent="0.25">
      <c r="A1009">
        <v>2</v>
      </c>
      <c r="B1009">
        <v>32</v>
      </c>
      <c r="C1009">
        <v>10</v>
      </c>
      <c r="D1009">
        <v>6162</v>
      </c>
      <c r="E1009">
        <v>34</v>
      </c>
      <c r="F1009">
        <v>9</v>
      </c>
      <c r="G1009">
        <v>5.258458414580673</v>
      </c>
      <c r="H1009" t="s">
        <v>663</v>
      </c>
      <c r="I1009" t="s">
        <v>35</v>
      </c>
      <c r="J1009">
        <v>1</v>
      </c>
      <c r="K1009">
        <v>58</v>
      </c>
      <c r="L1009" t="s">
        <v>567</v>
      </c>
      <c r="M1009">
        <v>2225</v>
      </c>
      <c r="N1009">
        <v>4.4316741032525897</v>
      </c>
      <c r="O1009">
        <v>6.0185533869080254</v>
      </c>
      <c r="P1009">
        <v>7.3055223077535629</v>
      </c>
      <c r="Q1009">
        <v>14.55936518125236</v>
      </c>
      <c r="R1009">
        <v>0</v>
      </c>
      <c r="S1009" t="s">
        <v>565</v>
      </c>
      <c r="T1009">
        <v>2021</v>
      </c>
      <c r="U1009" s="1">
        <v>45901.600802198707</v>
      </c>
      <c r="V1009" t="s">
        <v>32</v>
      </c>
      <c r="W1009" t="s">
        <v>138</v>
      </c>
      <c r="X1009">
        <v>1.661528835442865</v>
      </c>
      <c r="Y1009">
        <v>1.7115282256573081</v>
      </c>
      <c r="Z1009">
        <v>3.981446613091975</v>
      </c>
      <c r="AA1009">
        <v>2.3460674157303369</v>
      </c>
      <c r="AB1009">
        <v>0.24344710329066169</v>
      </c>
    </row>
    <row r="1010" spans="1:28" x14ac:dyDescent="0.25">
      <c r="A1010">
        <v>9</v>
      </c>
      <c r="B1010">
        <v>38</v>
      </c>
      <c r="C1010">
        <v>10</v>
      </c>
      <c r="D1010">
        <v>6401</v>
      </c>
      <c r="E1010">
        <v>50</v>
      </c>
      <c r="F1010">
        <v>7</v>
      </c>
      <c r="G1010">
        <v>8.2519460953772068</v>
      </c>
      <c r="H1010" t="s">
        <v>649</v>
      </c>
      <c r="I1010" t="s">
        <v>35</v>
      </c>
      <c r="J1010">
        <v>0</v>
      </c>
      <c r="K1010">
        <v>75</v>
      </c>
      <c r="L1010" t="s">
        <v>583</v>
      </c>
      <c r="M1010">
        <v>2777</v>
      </c>
      <c r="N1010">
        <v>6.7968511609360576</v>
      </c>
      <c r="O1010">
        <v>12.052416706457731</v>
      </c>
      <c r="P1010">
        <v>5.6036710496991873</v>
      </c>
      <c r="Q1010">
        <v>16.275909837335352</v>
      </c>
      <c r="R1010">
        <v>3</v>
      </c>
      <c r="S1010" t="s">
        <v>565</v>
      </c>
      <c r="T1010">
        <v>2021</v>
      </c>
      <c r="U1010" s="1">
        <v>45901.600802198707</v>
      </c>
      <c r="V1010" t="s">
        <v>32</v>
      </c>
      <c r="W1010" t="s">
        <v>138</v>
      </c>
      <c r="X1010">
        <v>0.8297091150724949</v>
      </c>
      <c r="Y1010">
        <v>0.84828474630020245</v>
      </c>
      <c r="Z1010">
        <v>-2.0524167064577341</v>
      </c>
      <c r="AA1010">
        <v>2.4306805905653581</v>
      </c>
      <c r="AB1010">
        <v>0.39060767143723307</v>
      </c>
    </row>
    <row r="1011" spans="1:28" x14ac:dyDescent="0.25">
      <c r="A1011">
        <v>3</v>
      </c>
      <c r="B1011">
        <v>24</v>
      </c>
      <c r="C1011">
        <v>10</v>
      </c>
      <c r="D1011">
        <v>8995</v>
      </c>
      <c r="E1011">
        <v>16</v>
      </c>
      <c r="F1011">
        <v>9</v>
      </c>
      <c r="G1011">
        <v>6.6829385235905647</v>
      </c>
      <c r="H1011" t="s">
        <v>428</v>
      </c>
      <c r="I1011" t="s">
        <v>35</v>
      </c>
      <c r="J1011">
        <v>1</v>
      </c>
      <c r="K1011">
        <v>31</v>
      </c>
      <c r="L1011" t="s">
        <v>640</v>
      </c>
      <c r="M1011">
        <v>1282</v>
      </c>
      <c r="N1011">
        <v>1.652627470903099</v>
      </c>
      <c r="O1011">
        <v>8.2031234875321388</v>
      </c>
      <c r="P1011">
        <v>1.1800376148894429</v>
      </c>
      <c r="Q1011">
        <v>8.1477194055914879</v>
      </c>
      <c r="R1011">
        <v>1</v>
      </c>
      <c r="S1011" t="s">
        <v>565</v>
      </c>
      <c r="T1011">
        <v>2021</v>
      </c>
      <c r="U1011" s="1">
        <v>45901.600802198707</v>
      </c>
      <c r="V1011" t="s">
        <v>32</v>
      </c>
      <c r="W1011" t="s">
        <v>138</v>
      </c>
      <c r="X1011">
        <v>1.2190478438120449</v>
      </c>
      <c r="Y1011">
        <v>1.3467129718805999</v>
      </c>
      <c r="Z1011">
        <v>1.796876512467861</v>
      </c>
      <c r="AA1011">
        <v>2.1762870514820589</v>
      </c>
      <c r="AB1011">
        <v>0.57588230411692076</v>
      </c>
    </row>
    <row r="1012" spans="1:28" x14ac:dyDescent="0.25">
      <c r="A1012">
        <v>1</v>
      </c>
      <c r="B1012">
        <v>33</v>
      </c>
      <c r="C1012">
        <v>10</v>
      </c>
      <c r="D1012">
        <v>9182</v>
      </c>
      <c r="E1012">
        <v>12</v>
      </c>
      <c r="F1012">
        <v>10</v>
      </c>
      <c r="G1012">
        <v>8.6067433306016028</v>
      </c>
      <c r="H1012" t="s">
        <v>664</v>
      </c>
      <c r="I1012" t="s">
        <v>35</v>
      </c>
      <c r="J1012">
        <v>1</v>
      </c>
      <c r="K1012">
        <v>43</v>
      </c>
      <c r="L1012" t="s">
        <v>580</v>
      </c>
      <c r="M1012">
        <v>1782</v>
      </c>
      <c r="N1012">
        <v>0.61384039185941219</v>
      </c>
      <c r="O1012">
        <v>8.6067433306016028</v>
      </c>
      <c r="P1012">
        <v>0.4107987005263567</v>
      </c>
      <c r="Q1012">
        <v>7.9989090696908534</v>
      </c>
      <c r="R1012">
        <v>2</v>
      </c>
      <c r="S1012" t="s">
        <v>565</v>
      </c>
      <c r="T1012">
        <v>2021</v>
      </c>
      <c r="U1012" s="1">
        <v>45901.600802198707</v>
      </c>
      <c r="V1012" t="s">
        <v>32</v>
      </c>
      <c r="W1012" t="s">
        <v>138</v>
      </c>
      <c r="X1012">
        <v>1.161879658295911</v>
      </c>
      <c r="Y1012">
        <v>1.161879658295911</v>
      </c>
      <c r="Z1012">
        <v>1.393256669398397</v>
      </c>
      <c r="AA1012">
        <v>2.1717171717171722</v>
      </c>
      <c r="AB1012">
        <v>0.43468400659604062</v>
      </c>
    </row>
    <row r="1013" spans="1:28" x14ac:dyDescent="0.25">
      <c r="A1013">
        <v>5</v>
      </c>
      <c r="B1013">
        <v>34</v>
      </c>
      <c r="C1013">
        <v>29</v>
      </c>
      <c r="D1013">
        <v>3423</v>
      </c>
      <c r="E1013">
        <v>56</v>
      </c>
      <c r="F1013">
        <v>26</v>
      </c>
      <c r="G1013">
        <v>24.76345356926322</v>
      </c>
      <c r="H1013" t="s">
        <v>312</v>
      </c>
      <c r="I1013" t="s">
        <v>29</v>
      </c>
      <c r="J1013">
        <v>0</v>
      </c>
      <c r="K1013">
        <v>150</v>
      </c>
      <c r="L1013" t="s">
        <v>568</v>
      </c>
      <c r="M1013">
        <v>2835</v>
      </c>
      <c r="N1013">
        <v>9.1698048580437899</v>
      </c>
      <c r="O1013">
        <v>27.803832735866312</v>
      </c>
      <c r="P1013">
        <v>9.7697150539606792</v>
      </c>
      <c r="Q1013">
        <v>37.204078458249569</v>
      </c>
      <c r="R1013">
        <v>6</v>
      </c>
      <c r="S1013" t="s">
        <v>565</v>
      </c>
      <c r="T1013">
        <v>2022</v>
      </c>
      <c r="U1013" s="1">
        <v>45901.600802198707</v>
      </c>
      <c r="V1013" t="s">
        <v>32</v>
      </c>
      <c r="W1013" t="s">
        <v>152</v>
      </c>
      <c r="X1013">
        <v>1.0430216681094711</v>
      </c>
      <c r="Y1013">
        <v>1.0499343287186571</v>
      </c>
      <c r="Z1013">
        <v>1.196167264133692</v>
      </c>
      <c r="AA1013">
        <v>4.7619047619047619</v>
      </c>
      <c r="AB1013">
        <v>0.88266135669416856</v>
      </c>
    </row>
    <row r="1014" spans="1:28" x14ac:dyDescent="0.25">
      <c r="A1014">
        <v>5</v>
      </c>
      <c r="B1014">
        <v>35</v>
      </c>
      <c r="C1014">
        <v>27</v>
      </c>
      <c r="D1014">
        <v>3277</v>
      </c>
      <c r="E1014">
        <v>48</v>
      </c>
      <c r="F1014">
        <v>21</v>
      </c>
      <c r="G1014">
        <v>21.296363773755729</v>
      </c>
      <c r="H1014" t="s">
        <v>99</v>
      </c>
      <c r="I1014" t="s">
        <v>35</v>
      </c>
      <c r="J1014">
        <v>0</v>
      </c>
      <c r="K1014">
        <v>115</v>
      </c>
      <c r="L1014" t="s">
        <v>564</v>
      </c>
      <c r="M1014">
        <v>2944</v>
      </c>
      <c r="N1014">
        <v>5.3721023891121149</v>
      </c>
      <c r="O1014">
        <v>27.37713794503361</v>
      </c>
      <c r="P1014">
        <v>5.5802058270201087</v>
      </c>
      <c r="Q1014">
        <v>27.794760178774599</v>
      </c>
      <c r="R1014">
        <v>3</v>
      </c>
      <c r="S1014" t="s">
        <v>565</v>
      </c>
      <c r="T1014">
        <v>2022</v>
      </c>
      <c r="U1014" s="1">
        <v>45901.600802198707</v>
      </c>
      <c r="V1014" t="s">
        <v>32</v>
      </c>
      <c r="W1014" t="s">
        <v>152</v>
      </c>
      <c r="X1014">
        <v>0.98622434727140551</v>
      </c>
      <c r="Y1014">
        <v>0.98608383210842088</v>
      </c>
      <c r="Z1014">
        <v>-0.37713794503360992</v>
      </c>
      <c r="AA1014">
        <v>3.515625</v>
      </c>
      <c r="AB1014">
        <v>0.83693696163485898</v>
      </c>
    </row>
    <row r="1015" spans="1:28" x14ac:dyDescent="0.25">
      <c r="A1015">
        <v>4</v>
      </c>
      <c r="B1015">
        <v>37</v>
      </c>
      <c r="C1015">
        <v>24</v>
      </c>
      <c r="D1015">
        <v>8636</v>
      </c>
      <c r="E1015">
        <v>52</v>
      </c>
      <c r="F1015">
        <v>14</v>
      </c>
      <c r="G1015">
        <v>16.664669679477811</v>
      </c>
      <c r="H1015" t="s">
        <v>648</v>
      </c>
      <c r="I1015" t="s">
        <v>35</v>
      </c>
      <c r="J1015">
        <v>0</v>
      </c>
      <c r="K1015">
        <v>106</v>
      </c>
      <c r="L1015" t="s">
        <v>595</v>
      </c>
      <c r="M1015">
        <v>3193</v>
      </c>
      <c r="N1015">
        <v>7.1229968704283237</v>
      </c>
      <c r="O1015">
        <v>25.025641219690439</v>
      </c>
      <c r="P1015">
        <v>9.3408922404050845</v>
      </c>
      <c r="Q1015">
        <v>30.582719108089801</v>
      </c>
      <c r="R1015">
        <v>6</v>
      </c>
      <c r="S1015" t="s">
        <v>565</v>
      </c>
      <c r="T1015">
        <v>2022</v>
      </c>
      <c r="U1015" s="1">
        <v>45901.600802198707</v>
      </c>
      <c r="V1015" t="s">
        <v>32</v>
      </c>
      <c r="W1015" t="s">
        <v>152</v>
      </c>
      <c r="X1015">
        <v>0.95901638600638717</v>
      </c>
      <c r="Y1015">
        <v>0.84010066021534802</v>
      </c>
      <c r="Z1015">
        <v>-1.025641219690439</v>
      </c>
      <c r="AA1015">
        <v>2.9877857813968061</v>
      </c>
      <c r="AB1015">
        <v>0.70538919817480095</v>
      </c>
    </row>
    <row r="1016" spans="1:28" x14ac:dyDescent="0.25">
      <c r="A1016">
        <v>2</v>
      </c>
      <c r="B1016">
        <v>37</v>
      </c>
      <c r="C1016">
        <v>21</v>
      </c>
      <c r="D1016">
        <v>9690</v>
      </c>
      <c r="E1016">
        <v>36</v>
      </c>
      <c r="F1016">
        <v>15</v>
      </c>
      <c r="G1016">
        <v>20.720276741310961</v>
      </c>
      <c r="H1016" t="s">
        <v>665</v>
      </c>
      <c r="I1016" t="s">
        <v>35</v>
      </c>
      <c r="J1016">
        <v>0</v>
      </c>
      <c r="K1016">
        <v>128</v>
      </c>
      <c r="L1016" t="s">
        <v>640</v>
      </c>
      <c r="M1016">
        <v>3030</v>
      </c>
      <c r="N1016">
        <v>3.9462142670527101</v>
      </c>
      <c r="O1016">
        <v>26.04087693803012</v>
      </c>
      <c r="P1016">
        <v>4.7501550186425447</v>
      </c>
      <c r="Q1016">
        <v>25.82490507513285</v>
      </c>
      <c r="R1016">
        <v>5</v>
      </c>
      <c r="S1016" t="s">
        <v>565</v>
      </c>
      <c r="T1016">
        <v>2022</v>
      </c>
      <c r="U1016" s="1">
        <v>45901.600802198707</v>
      </c>
      <c r="V1016" t="s">
        <v>32</v>
      </c>
      <c r="W1016" t="s">
        <v>152</v>
      </c>
      <c r="X1016">
        <v>0.80642445528904516</v>
      </c>
      <c r="Y1016">
        <v>0.72392855497406627</v>
      </c>
      <c r="Z1016">
        <v>-5.0408769380301237</v>
      </c>
      <c r="AA1016">
        <v>3.8019801980198018</v>
      </c>
      <c r="AB1016">
        <v>0.77349139419891455</v>
      </c>
    </row>
    <row r="1017" spans="1:28" x14ac:dyDescent="0.25">
      <c r="A1017">
        <v>4</v>
      </c>
      <c r="B1017">
        <v>38</v>
      </c>
      <c r="C1017">
        <v>21</v>
      </c>
      <c r="D1017">
        <v>10832</v>
      </c>
      <c r="E1017">
        <v>24</v>
      </c>
      <c r="F1017">
        <v>20</v>
      </c>
      <c r="G1017">
        <v>18.228005489334461</v>
      </c>
      <c r="H1017" t="s">
        <v>415</v>
      </c>
      <c r="I1017" t="s">
        <v>35</v>
      </c>
      <c r="J1017">
        <v>0</v>
      </c>
      <c r="K1017">
        <v>103</v>
      </c>
      <c r="L1017" t="s">
        <v>652</v>
      </c>
      <c r="M1017">
        <v>2564</v>
      </c>
      <c r="N1017">
        <v>5.7739677168428898</v>
      </c>
      <c r="O1017">
        <v>18.988100608810779</v>
      </c>
      <c r="P1017">
        <v>3.7656783610582352</v>
      </c>
      <c r="Q1017">
        <v>24.04535267688334</v>
      </c>
      <c r="R1017">
        <v>2</v>
      </c>
      <c r="S1017" t="s">
        <v>565</v>
      </c>
      <c r="T1017">
        <v>2022</v>
      </c>
      <c r="U1017" s="1">
        <v>45901.600802198707</v>
      </c>
      <c r="V1017" t="s">
        <v>32</v>
      </c>
      <c r="W1017" t="s">
        <v>152</v>
      </c>
      <c r="X1017">
        <v>1.10595580003698</v>
      </c>
      <c r="Y1017">
        <v>1.09721274835595</v>
      </c>
      <c r="Z1017">
        <v>2.011899391189218</v>
      </c>
      <c r="AA1017">
        <v>3.615444617784711</v>
      </c>
      <c r="AB1017">
        <v>0.66650899172892764</v>
      </c>
    </row>
    <row r="1018" spans="1:28" x14ac:dyDescent="0.25">
      <c r="A1018">
        <v>1</v>
      </c>
      <c r="B1018">
        <v>37</v>
      </c>
      <c r="C1018">
        <v>20</v>
      </c>
      <c r="D1018">
        <v>5769</v>
      </c>
      <c r="E1018">
        <v>26</v>
      </c>
      <c r="F1018">
        <v>17</v>
      </c>
      <c r="G1018">
        <v>17.956738248467449</v>
      </c>
      <c r="H1018" t="s">
        <v>641</v>
      </c>
      <c r="I1018" t="s">
        <v>29</v>
      </c>
      <c r="J1018">
        <v>1</v>
      </c>
      <c r="K1018">
        <v>94</v>
      </c>
      <c r="L1018" t="s">
        <v>645</v>
      </c>
      <c r="M1018">
        <v>2891</v>
      </c>
      <c r="N1018">
        <v>3.680932072922587</v>
      </c>
      <c r="O1018">
        <v>20.997123509645469</v>
      </c>
      <c r="P1018">
        <v>4.0895353481173524</v>
      </c>
      <c r="Q1018">
        <v>22.090998284518719</v>
      </c>
      <c r="R1018">
        <v>2</v>
      </c>
      <c r="S1018" t="s">
        <v>565</v>
      </c>
      <c r="T1018">
        <v>2022</v>
      </c>
      <c r="U1018" s="1">
        <v>45901.600802198707</v>
      </c>
      <c r="V1018" t="s">
        <v>32</v>
      </c>
      <c r="W1018" t="s">
        <v>152</v>
      </c>
      <c r="X1018">
        <v>0.95251142332960914</v>
      </c>
      <c r="Y1018">
        <v>0.94671981986766995</v>
      </c>
      <c r="Z1018">
        <v>-0.99712350964546559</v>
      </c>
      <c r="AA1018">
        <v>2.9263230716015221</v>
      </c>
      <c r="AB1018">
        <v>0.65366347833555583</v>
      </c>
    </row>
    <row r="1019" spans="1:28" x14ac:dyDescent="0.25">
      <c r="A1019">
        <v>7</v>
      </c>
      <c r="B1019">
        <v>32</v>
      </c>
      <c r="C1019">
        <v>19</v>
      </c>
      <c r="D1019">
        <v>3210</v>
      </c>
      <c r="E1019">
        <v>25</v>
      </c>
      <c r="F1019">
        <v>14</v>
      </c>
      <c r="G1019">
        <v>14.123128723353149</v>
      </c>
      <c r="H1019" t="s">
        <v>254</v>
      </c>
      <c r="I1019" t="s">
        <v>29</v>
      </c>
      <c r="J1019">
        <v>0</v>
      </c>
      <c r="K1019">
        <v>72</v>
      </c>
      <c r="L1019" t="s">
        <v>602</v>
      </c>
      <c r="M1019">
        <v>2147</v>
      </c>
      <c r="N1019">
        <v>4.122635604813695</v>
      </c>
      <c r="O1019">
        <v>18.68362890556455</v>
      </c>
      <c r="P1019">
        <v>3.5271483138203621</v>
      </c>
      <c r="Q1019">
        <v>19.707613371312618</v>
      </c>
      <c r="R1019">
        <v>4</v>
      </c>
      <c r="S1019" t="s">
        <v>565</v>
      </c>
      <c r="T1019">
        <v>2022</v>
      </c>
      <c r="U1019" s="1">
        <v>45901.600802198707</v>
      </c>
      <c r="V1019" t="s">
        <v>32</v>
      </c>
      <c r="W1019" t="s">
        <v>152</v>
      </c>
      <c r="X1019">
        <v>1.0169330645579899</v>
      </c>
      <c r="Y1019">
        <v>0.99128176725108019</v>
      </c>
      <c r="Z1019">
        <v>0.31637109443545341</v>
      </c>
      <c r="AA1019">
        <v>3.0181648812296231</v>
      </c>
      <c r="AB1019">
        <v>0.78319823078752182</v>
      </c>
    </row>
    <row r="1020" spans="1:28" x14ac:dyDescent="0.25">
      <c r="A1020">
        <v>5</v>
      </c>
      <c r="B1020">
        <v>33</v>
      </c>
      <c r="C1020">
        <v>19</v>
      </c>
      <c r="D1020">
        <v>9182</v>
      </c>
      <c r="E1020">
        <v>22</v>
      </c>
      <c r="F1020">
        <v>18</v>
      </c>
      <c r="G1020">
        <v>13.75648968107998</v>
      </c>
      <c r="H1020" t="s">
        <v>664</v>
      </c>
      <c r="I1020" t="s">
        <v>35</v>
      </c>
      <c r="J1020">
        <v>1</v>
      </c>
      <c r="K1020">
        <v>63</v>
      </c>
      <c r="L1020" t="s">
        <v>580</v>
      </c>
      <c r="M1020">
        <v>2584</v>
      </c>
      <c r="N1020">
        <v>3.9853367600589991</v>
      </c>
      <c r="O1020">
        <v>14.51658486016095</v>
      </c>
      <c r="P1020">
        <v>1.0430056620389221</v>
      </c>
      <c r="Q1020">
        <v>15.41689774207771</v>
      </c>
      <c r="R1020">
        <v>8</v>
      </c>
      <c r="S1020" t="s">
        <v>565</v>
      </c>
      <c r="T1020">
        <v>2022</v>
      </c>
      <c r="U1020" s="1">
        <v>45901.600802198707</v>
      </c>
      <c r="V1020" t="s">
        <v>32</v>
      </c>
      <c r="W1020" t="s">
        <v>152</v>
      </c>
      <c r="X1020">
        <v>1.308847789134155</v>
      </c>
      <c r="Y1020">
        <v>1.3084733400233881</v>
      </c>
      <c r="Z1020">
        <v>4.4834151398390514</v>
      </c>
      <c r="AA1020">
        <v>2.1942724458204341</v>
      </c>
      <c r="AB1020">
        <v>0.50560860581055933</v>
      </c>
    </row>
    <row r="1021" spans="1:28" x14ac:dyDescent="0.25">
      <c r="A1021">
        <v>3</v>
      </c>
      <c r="B1021">
        <v>34</v>
      </c>
      <c r="C1021">
        <v>18</v>
      </c>
      <c r="D1021">
        <v>8997</v>
      </c>
      <c r="E1021">
        <v>36</v>
      </c>
      <c r="F1021">
        <v>17</v>
      </c>
      <c r="G1021">
        <v>15.232637748122221</v>
      </c>
      <c r="H1021" t="s">
        <v>647</v>
      </c>
      <c r="I1021" t="s">
        <v>29</v>
      </c>
      <c r="J1021">
        <v>0</v>
      </c>
      <c r="K1021">
        <v>79</v>
      </c>
      <c r="L1021" t="s">
        <v>666</v>
      </c>
      <c r="M1021">
        <v>2747</v>
      </c>
      <c r="N1021">
        <v>3.0610055103898048</v>
      </c>
      <c r="O1021">
        <v>16.752822861075401</v>
      </c>
      <c r="P1021">
        <v>5.6585999606177211</v>
      </c>
      <c r="Q1021">
        <v>20.321017161011699</v>
      </c>
      <c r="R1021">
        <v>3</v>
      </c>
      <c r="S1021" t="s">
        <v>565</v>
      </c>
      <c r="T1021">
        <v>2022</v>
      </c>
      <c r="U1021" s="1">
        <v>45901.600802198707</v>
      </c>
      <c r="V1021" t="s">
        <v>32</v>
      </c>
      <c r="W1021" t="s">
        <v>152</v>
      </c>
      <c r="X1021">
        <v>1.0744457903761619</v>
      </c>
      <c r="Y1021">
        <v>1.116024701768783</v>
      </c>
      <c r="Z1021">
        <v>1.2471771389245989</v>
      </c>
      <c r="AA1021">
        <v>2.588278121587186</v>
      </c>
      <c r="AB1021">
        <v>0.54887297324236839</v>
      </c>
    </row>
    <row r="1022" spans="1:28" x14ac:dyDescent="0.25">
      <c r="A1022">
        <v>16</v>
      </c>
      <c r="B1022">
        <v>32</v>
      </c>
      <c r="C1022">
        <v>16</v>
      </c>
      <c r="D1022">
        <v>2097</v>
      </c>
      <c r="E1022">
        <v>93</v>
      </c>
      <c r="F1022">
        <v>16</v>
      </c>
      <c r="G1022">
        <v>17.66338854003698</v>
      </c>
      <c r="H1022" t="s">
        <v>197</v>
      </c>
      <c r="I1022" t="s">
        <v>49</v>
      </c>
      <c r="J1022">
        <v>0</v>
      </c>
      <c r="K1022">
        <v>129</v>
      </c>
      <c r="L1022" t="s">
        <v>568</v>
      </c>
      <c r="M1022">
        <v>2855</v>
      </c>
      <c r="N1022">
        <v>15.239965826272959</v>
      </c>
      <c r="O1022">
        <v>17.66338854003698</v>
      </c>
      <c r="P1022">
        <v>15.893313407897949</v>
      </c>
      <c r="Q1022">
        <v>39.00348609033972</v>
      </c>
      <c r="R1022">
        <v>0</v>
      </c>
      <c r="S1022" t="s">
        <v>565</v>
      </c>
      <c r="T1022">
        <v>2022</v>
      </c>
      <c r="U1022" s="1">
        <v>45901.600802198707</v>
      </c>
      <c r="V1022" t="s">
        <v>32</v>
      </c>
      <c r="W1022" t="s">
        <v>152</v>
      </c>
      <c r="X1022">
        <v>0.90582845775788534</v>
      </c>
      <c r="Y1022">
        <v>0.90582845775788534</v>
      </c>
      <c r="Z1022">
        <v>-1.6633885400369759</v>
      </c>
      <c r="AA1022">
        <v>4.0665499124343256</v>
      </c>
      <c r="AB1022">
        <v>0.55681434977349487</v>
      </c>
    </row>
    <row r="1023" spans="1:28" x14ac:dyDescent="0.25">
      <c r="A1023">
        <v>3</v>
      </c>
      <c r="B1023">
        <v>37</v>
      </c>
      <c r="C1023">
        <v>15</v>
      </c>
      <c r="D1023">
        <v>3746</v>
      </c>
      <c r="E1023">
        <v>47</v>
      </c>
      <c r="F1023">
        <v>15</v>
      </c>
      <c r="G1023">
        <v>13.65894185006618</v>
      </c>
      <c r="H1023" t="s">
        <v>634</v>
      </c>
      <c r="I1023" t="s">
        <v>35</v>
      </c>
      <c r="J1023">
        <v>0</v>
      </c>
      <c r="K1023">
        <v>85</v>
      </c>
      <c r="L1023" t="s">
        <v>667</v>
      </c>
      <c r="M1023">
        <v>2774</v>
      </c>
      <c r="N1023">
        <v>6.2363909734413028</v>
      </c>
      <c r="O1023">
        <v>14.41903685033321</v>
      </c>
      <c r="P1023">
        <v>7.1096776276826859</v>
      </c>
      <c r="Q1023">
        <v>22.54025174677372</v>
      </c>
      <c r="R1023">
        <v>0</v>
      </c>
      <c r="S1023" t="s">
        <v>565</v>
      </c>
      <c r="T1023">
        <v>2022</v>
      </c>
      <c r="U1023" s="1">
        <v>45901.600802198707</v>
      </c>
      <c r="V1023" t="s">
        <v>32</v>
      </c>
      <c r="W1023" t="s">
        <v>152</v>
      </c>
      <c r="X1023">
        <v>1.040291397802577</v>
      </c>
      <c r="Y1023">
        <v>1.0981817013832089</v>
      </c>
      <c r="Z1023">
        <v>0.58096314966678619</v>
      </c>
      <c r="AA1023">
        <v>2.7577505407354002</v>
      </c>
      <c r="AB1023">
        <v>0.46781301965753042</v>
      </c>
    </row>
    <row r="1024" spans="1:28" x14ac:dyDescent="0.25">
      <c r="A1024">
        <v>3</v>
      </c>
      <c r="B1024">
        <v>36</v>
      </c>
      <c r="C1024">
        <v>15</v>
      </c>
      <c r="D1024">
        <v>6401</v>
      </c>
      <c r="E1024">
        <v>41</v>
      </c>
      <c r="F1024">
        <v>15</v>
      </c>
      <c r="G1024">
        <v>12.596089564263821</v>
      </c>
      <c r="H1024" t="s">
        <v>649</v>
      </c>
      <c r="I1024" t="s">
        <v>35</v>
      </c>
      <c r="J1024">
        <v>0</v>
      </c>
      <c r="K1024">
        <v>79</v>
      </c>
      <c r="L1024" t="s">
        <v>667</v>
      </c>
      <c r="M1024">
        <v>2781</v>
      </c>
      <c r="N1024">
        <v>4.8459129892289639</v>
      </c>
      <c r="O1024">
        <v>12.596089564263821</v>
      </c>
      <c r="P1024">
        <v>7.0972194513306022</v>
      </c>
      <c r="Q1024">
        <v>21.548378622159358</v>
      </c>
      <c r="R1024">
        <v>4</v>
      </c>
      <c r="S1024" t="s">
        <v>565</v>
      </c>
      <c r="T1024">
        <v>2022</v>
      </c>
      <c r="U1024" s="1">
        <v>45901.600802198707</v>
      </c>
      <c r="V1024" t="s">
        <v>32</v>
      </c>
      <c r="W1024" t="s">
        <v>152</v>
      </c>
      <c r="X1024">
        <v>1.190845771893865</v>
      </c>
      <c r="Y1024">
        <v>1.190845771893865</v>
      </c>
      <c r="Z1024">
        <v>2.4039104357361789</v>
      </c>
      <c r="AA1024">
        <v>2.5566343042071198</v>
      </c>
      <c r="AB1024">
        <v>0.40764043897293922</v>
      </c>
    </row>
    <row r="1025" spans="1:28" x14ac:dyDescent="0.25">
      <c r="A1025">
        <v>3</v>
      </c>
      <c r="B1025">
        <v>35</v>
      </c>
      <c r="C1025">
        <v>14</v>
      </c>
      <c r="D1025">
        <v>498</v>
      </c>
      <c r="E1025">
        <v>55</v>
      </c>
      <c r="F1025">
        <v>12</v>
      </c>
      <c r="G1025">
        <v>11.736502207815651</v>
      </c>
      <c r="H1025" t="s">
        <v>41</v>
      </c>
      <c r="I1025" t="s">
        <v>35</v>
      </c>
      <c r="J1025">
        <v>0</v>
      </c>
      <c r="K1025">
        <v>66</v>
      </c>
      <c r="L1025" t="s">
        <v>567</v>
      </c>
      <c r="M1025">
        <v>2734</v>
      </c>
      <c r="N1025">
        <v>7.4340753704309464</v>
      </c>
      <c r="O1025">
        <v>14.01679380238056</v>
      </c>
      <c r="P1025">
        <v>7.8538578748703003</v>
      </c>
      <c r="Q1025">
        <v>24.44496171921492</v>
      </c>
      <c r="R1025">
        <v>3</v>
      </c>
      <c r="S1025" t="s">
        <v>565</v>
      </c>
      <c r="T1025">
        <v>2022</v>
      </c>
      <c r="U1025" s="1">
        <v>45901.600802198707</v>
      </c>
      <c r="V1025" t="s">
        <v>32</v>
      </c>
      <c r="W1025" t="s">
        <v>152</v>
      </c>
      <c r="X1025">
        <v>0.99880187990082947</v>
      </c>
      <c r="Y1025">
        <v>1.0224511347178791</v>
      </c>
      <c r="Z1025">
        <v>-1.6793802380561829E-2</v>
      </c>
      <c r="AA1025">
        <v>2.1726408193123632</v>
      </c>
      <c r="AB1025">
        <v>0.46141603592328112</v>
      </c>
    </row>
    <row r="1026" spans="1:28" x14ac:dyDescent="0.25">
      <c r="A1026">
        <v>11</v>
      </c>
      <c r="B1026">
        <v>20</v>
      </c>
      <c r="C1026">
        <v>13</v>
      </c>
      <c r="D1026">
        <v>2099</v>
      </c>
      <c r="E1026">
        <v>49</v>
      </c>
      <c r="F1026">
        <v>11</v>
      </c>
      <c r="G1026">
        <v>8.3937366306781769</v>
      </c>
      <c r="H1026" t="s">
        <v>199</v>
      </c>
      <c r="I1026" t="s">
        <v>35</v>
      </c>
      <c r="J1026">
        <v>1</v>
      </c>
      <c r="K1026">
        <v>38</v>
      </c>
      <c r="L1026" t="s">
        <v>568</v>
      </c>
      <c r="M1026">
        <v>1561</v>
      </c>
      <c r="N1026">
        <v>8.0818158220499754</v>
      </c>
      <c r="O1026">
        <v>9.9139206111431122</v>
      </c>
      <c r="P1026">
        <v>12.75242682918906</v>
      </c>
      <c r="Q1026">
        <v>22.908310294151299</v>
      </c>
      <c r="R1026">
        <v>4</v>
      </c>
      <c r="S1026" t="s">
        <v>565</v>
      </c>
      <c r="T1026">
        <v>2022</v>
      </c>
      <c r="U1026" s="1">
        <v>45901.600802198707</v>
      </c>
      <c r="V1026" t="s">
        <v>32</v>
      </c>
      <c r="W1026" t="s">
        <v>152</v>
      </c>
      <c r="X1026">
        <v>1.3112874825110239</v>
      </c>
      <c r="Y1026">
        <v>1.3105009704255219</v>
      </c>
      <c r="Z1026">
        <v>3.0860793888568878</v>
      </c>
      <c r="AA1026">
        <v>2.1909032671364508</v>
      </c>
      <c r="AB1026">
        <v>0.57159055413381177</v>
      </c>
    </row>
    <row r="1027" spans="1:28" x14ac:dyDescent="0.25">
      <c r="A1027">
        <v>2</v>
      </c>
      <c r="B1027">
        <v>32</v>
      </c>
      <c r="C1027">
        <v>12</v>
      </c>
      <c r="D1027">
        <v>5356</v>
      </c>
      <c r="E1027">
        <v>29</v>
      </c>
      <c r="F1027">
        <v>12</v>
      </c>
      <c r="G1027">
        <v>9.9704243578016758</v>
      </c>
      <c r="H1027" t="s">
        <v>668</v>
      </c>
      <c r="I1027" t="s">
        <v>29</v>
      </c>
      <c r="J1027">
        <v>0</v>
      </c>
      <c r="K1027">
        <v>42</v>
      </c>
      <c r="L1027" t="s">
        <v>602</v>
      </c>
      <c r="M1027">
        <v>1855</v>
      </c>
      <c r="N1027">
        <v>4.7674234248697758</v>
      </c>
      <c r="O1027">
        <v>10.73052233830094</v>
      </c>
      <c r="P1027">
        <v>2.4591194596141581</v>
      </c>
      <c r="Q1027">
        <v>15.11215556040406</v>
      </c>
      <c r="R1027">
        <v>3</v>
      </c>
      <c r="S1027" t="s">
        <v>565</v>
      </c>
      <c r="T1027">
        <v>2022</v>
      </c>
      <c r="U1027" s="1">
        <v>45901.600802198707</v>
      </c>
      <c r="V1027" t="s">
        <v>32</v>
      </c>
      <c r="W1027" t="s">
        <v>152</v>
      </c>
      <c r="X1027">
        <v>1.1183052997492819</v>
      </c>
      <c r="Y1027">
        <v>1.2035596048236621</v>
      </c>
      <c r="Z1027">
        <v>1.2694776616990571</v>
      </c>
      <c r="AA1027">
        <v>2.0377358490566042</v>
      </c>
      <c r="AB1027">
        <v>0.52061833447282202</v>
      </c>
    </row>
    <row r="1028" spans="1:28" x14ac:dyDescent="0.25">
      <c r="A1028">
        <v>3</v>
      </c>
      <c r="B1028">
        <v>34</v>
      </c>
      <c r="C1028">
        <v>12</v>
      </c>
      <c r="D1028">
        <v>7747</v>
      </c>
      <c r="E1028">
        <v>23</v>
      </c>
      <c r="F1028">
        <v>10</v>
      </c>
      <c r="G1028">
        <v>9.0633689668029565</v>
      </c>
      <c r="H1028" t="s">
        <v>669</v>
      </c>
      <c r="I1028" t="s">
        <v>35</v>
      </c>
      <c r="J1028">
        <v>2</v>
      </c>
      <c r="K1028">
        <v>75</v>
      </c>
      <c r="L1028" t="s">
        <v>670</v>
      </c>
      <c r="M1028">
        <v>2686</v>
      </c>
      <c r="N1028">
        <v>2.0454956013709311</v>
      </c>
      <c r="O1028">
        <v>10.58355913124978</v>
      </c>
      <c r="P1028">
        <v>2.5659556780010462</v>
      </c>
      <c r="Q1028">
        <v>12.15970074757934</v>
      </c>
      <c r="R1028">
        <v>4</v>
      </c>
      <c r="S1028" t="s">
        <v>565</v>
      </c>
      <c r="T1028">
        <v>2022</v>
      </c>
      <c r="U1028" s="1">
        <v>45901.600802198707</v>
      </c>
      <c r="V1028" t="s">
        <v>32</v>
      </c>
      <c r="W1028" t="s">
        <v>152</v>
      </c>
      <c r="X1028">
        <v>1.133834077098689</v>
      </c>
      <c r="Y1028">
        <v>1.1033424807737291</v>
      </c>
      <c r="Z1028">
        <v>1.4164408687502159</v>
      </c>
      <c r="AA1028">
        <v>2.513030528667163</v>
      </c>
      <c r="AB1028">
        <v>0.35462409598379763</v>
      </c>
    </row>
    <row r="1029" spans="1:28" x14ac:dyDescent="0.25">
      <c r="A1029">
        <v>1</v>
      </c>
      <c r="B1029">
        <v>36</v>
      </c>
      <c r="C1029">
        <v>12</v>
      </c>
      <c r="D1029">
        <v>10794</v>
      </c>
      <c r="E1029">
        <v>21</v>
      </c>
      <c r="F1029">
        <v>12</v>
      </c>
      <c r="G1029">
        <v>12.99052871018648</v>
      </c>
      <c r="H1029" t="s">
        <v>671</v>
      </c>
      <c r="I1029" t="s">
        <v>29</v>
      </c>
      <c r="J1029">
        <v>0</v>
      </c>
      <c r="K1029">
        <v>63</v>
      </c>
      <c r="L1029" t="s">
        <v>575</v>
      </c>
      <c r="M1029">
        <v>2386</v>
      </c>
      <c r="N1029">
        <v>2.1791670331731439</v>
      </c>
      <c r="O1029">
        <v>12.99052871018648</v>
      </c>
      <c r="P1029">
        <v>3.8149219313636422</v>
      </c>
      <c r="Q1029">
        <v>16.285225506871939</v>
      </c>
      <c r="R1029">
        <v>4</v>
      </c>
      <c r="S1029" t="s">
        <v>565</v>
      </c>
      <c r="T1029">
        <v>2022</v>
      </c>
      <c r="U1029" s="1">
        <v>45901.600802198707</v>
      </c>
      <c r="V1029" t="s">
        <v>32</v>
      </c>
      <c r="W1029" t="s">
        <v>152</v>
      </c>
      <c r="X1029">
        <v>0.92374993102399594</v>
      </c>
      <c r="Y1029">
        <v>0.92374993102399594</v>
      </c>
      <c r="Z1029">
        <v>-0.9905287101864797</v>
      </c>
      <c r="AA1029">
        <v>2.3763621123218779</v>
      </c>
      <c r="AB1029">
        <v>0.49000317850661501</v>
      </c>
    </row>
    <row r="1030" spans="1:28" x14ac:dyDescent="0.25">
      <c r="A1030">
        <v>0</v>
      </c>
      <c r="B1030">
        <v>34</v>
      </c>
      <c r="C1030">
        <v>10</v>
      </c>
      <c r="D1030">
        <v>2442</v>
      </c>
      <c r="E1030">
        <v>25</v>
      </c>
      <c r="F1030">
        <v>9</v>
      </c>
      <c r="G1030">
        <v>8.8257071599364281</v>
      </c>
      <c r="H1030" t="s">
        <v>235</v>
      </c>
      <c r="I1030" t="s">
        <v>35</v>
      </c>
      <c r="J1030">
        <v>1</v>
      </c>
      <c r="K1030">
        <v>45</v>
      </c>
      <c r="L1030" t="s">
        <v>645</v>
      </c>
      <c r="M1030">
        <v>2117</v>
      </c>
      <c r="N1030">
        <v>2.9495354443788528</v>
      </c>
      <c r="O1030">
        <v>10.345895208418369</v>
      </c>
      <c r="P1030">
        <v>3.4007100975140929</v>
      </c>
      <c r="Q1030">
        <v>12.54785112477839</v>
      </c>
      <c r="R1030">
        <v>1</v>
      </c>
      <c r="S1030" t="s">
        <v>565</v>
      </c>
      <c r="T1030">
        <v>2022</v>
      </c>
      <c r="U1030" s="1">
        <v>45901.600802198707</v>
      </c>
      <c r="V1030" t="s">
        <v>32</v>
      </c>
      <c r="W1030" t="s">
        <v>152</v>
      </c>
      <c r="X1030">
        <v>0.96656691359710301</v>
      </c>
      <c r="Y1030">
        <v>1.019748314430232</v>
      </c>
      <c r="Z1030">
        <v>-0.34589520841836929</v>
      </c>
      <c r="AA1030">
        <v>1.9130845536136041</v>
      </c>
      <c r="AB1030">
        <v>0.43983494036733739</v>
      </c>
    </row>
    <row r="1031" spans="1:28" x14ac:dyDescent="0.25">
      <c r="A1031">
        <v>3</v>
      </c>
      <c r="B1031">
        <v>37</v>
      </c>
      <c r="C1031">
        <v>10</v>
      </c>
      <c r="D1031">
        <v>3663</v>
      </c>
      <c r="E1031">
        <v>15</v>
      </c>
      <c r="F1031">
        <v>6</v>
      </c>
      <c r="G1031">
        <v>8.2153329029679298</v>
      </c>
      <c r="H1031" t="s">
        <v>672</v>
      </c>
      <c r="I1031" t="s">
        <v>29</v>
      </c>
      <c r="J1031">
        <v>0</v>
      </c>
      <c r="K1031">
        <v>59</v>
      </c>
      <c r="L1031" t="s">
        <v>659</v>
      </c>
      <c r="M1031">
        <v>2265</v>
      </c>
      <c r="N1031">
        <v>2.2239279244095091</v>
      </c>
      <c r="O1031">
        <v>12.775899492204189</v>
      </c>
      <c r="P1031">
        <v>3.504972823895514</v>
      </c>
      <c r="Q1031">
        <v>11.884558181278409</v>
      </c>
      <c r="R1031">
        <v>3</v>
      </c>
      <c r="S1031" t="s">
        <v>565</v>
      </c>
      <c r="T1031">
        <v>2022</v>
      </c>
      <c r="U1031" s="1">
        <v>45901.600802198707</v>
      </c>
      <c r="V1031" t="s">
        <v>32</v>
      </c>
      <c r="W1031" t="s">
        <v>152</v>
      </c>
      <c r="X1031">
        <v>0.78272375311828069</v>
      </c>
      <c r="Y1031">
        <v>0.73034167584765763</v>
      </c>
      <c r="Z1031">
        <v>-2.7758994922041889</v>
      </c>
      <c r="AA1031">
        <v>2.3443708609271519</v>
      </c>
      <c r="AB1031">
        <v>0.50765163545182213</v>
      </c>
    </row>
    <row r="1032" spans="1:28" x14ac:dyDescent="0.25">
      <c r="A1032">
        <v>3</v>
      </c>
      <c r="B1032">
        <v>32</v>
      </c>
      <c r="C1032">
        <v>10</v>
      </c>
      <c r="D1032">
        <v>8657</v>
      </c>
      <c r="E1032">
        <v>17</v>
      </c>
      <c r="F1032">
        <v>10</v>
      </c>
      <c r="G1032">
        <v>8.3034058455377817</v>
      </c>
      <c r="H1032" t="s">
        <v>673</v>
      </c>
      <c r="I1032" t="s">
        <v>35</v>
      </c>
      <c r="J1032">
        <v>0</v>
      </c>
      <c r="K1032">
        <v>55</v>
      </c>
      <c r="L1032" t="s">
        <v>674</v>
      </c>
      <c r="M1032">
        <v>2098</v>
      </c>
      <c r="N1032">
        <v>1.4946806170046329</v>
      </c>
      <c r="O1032">
        <v>8.3034058455377817</v>
      </c>
      <c r="P1032">
        <v>1.475309101864696</v>
      </c>
      <c r="Q1032">
        <v>9.8111123833805323</v>
      </c>
      <c r="R1032">
        <v>1</v>
      </c>
      <c r="S1032" t="s">
        <v>565</v>
      </c>
      <c r="T1032">
        <v>2022</v>
      </c>
      <c r="U1032" s="1">
        <v>45901.600802198707</v>
      </c>
      <c r="V1032" t="s">
        <v>32</v>
      </c>
      <c r="W1032" t="s">
        <v>152</v>
      </c>
      <c r="X1032">
        <v>1.2043250909353009</v>
      </c>
      <c r="Y1032">
        <v>1.2043250909353009</v>
      </c>
      <c r="Z1032">
        <v>1.6965941544622181</v>
      </c>
      <c r="AA1032">
        <v>2.3593898951382268</v>
      </c>
      <c r="AB1032">
        <v>0.35619948813079139</v>
      </c>
    </row>
    <row r="1033" spans="1:28" x14ac:dyDescent="0.25">
      <c r="A1033">
        <v>7</v>
      </c>
      <c r="B1033">
        <v>29</v>
      </c>
      <c r="C1033">
        <v>27</v>
      </c>
      <c r="D1033">
        <v>3423</v>
      </c>
      <c r="E1033">
        <v>40</v>
      </c>
      <c r="F1033">
        <v>21</v>
      </c>
      <c r="G1033">
        <v>15.224080352112651</v>
      </c>
      <c r="H1033" t="s">
        <v>312</v>
      </c>
      <c r="I1033" t="s">
        <v>35</v>
      </c>
      <c r="J1033">
        <v>0</v>
      </c>
      <c r="K1033">
        <v>120</v>
      </c>
      <c r="L1033" t="s">
        <v>568</v>
      </c>
      <c r="M1033">
        <v>2144</v>
      </c>
      <c r="N1033">
        <v>6.1112460531294346</v>
      </c>
      <c r="O1033">
        <v>21.304841568693519</v>
      </c>
      <c r="P1033">
        <v>9.6218992099165916</v>
      </c>
      <c r="Q1033">
        <v>27.30238967388868</v>
      </c>
      <c r="R1033">
        <v>4</v>
      </c>
      <c r="S1033" t="s">
        <v>565</v>
      </c>
      <c r="T1033">
        <v>2023</v>
      </c>
      <c r="U1033" s="1">
        <v>45901.600802198707</v>
      </c>
      <c r="V1033" t="s">
        <v>32</v>
      </c>
      <c r="W1033" t="s">
        <v>162</v>
      </c>
      <c r="X1033">
        <v>1.267317567837503</v>
      </c>
      <c r="Y1033">
        <v>1.379393665449606</v>
      </c>
      <c r="Z1033">
        <v>5.6951584313064814</v>
      </c>
      <c r="AA1033">
        <v>5.0373134328358207</v>
      </c>
      <c r="AB1033">
        <v>0.89432637182015695</v>
      </c>
    </row>
    <row r="1034" spans="1:28" x14ac:dyDescent="0.25">
      <c r="A1034">
        <v>2</v>
      </c>
      <c r="B1034">
        <v>29</v>
      </c>
      <c r="C1034">
        <v>19</v>
      </c>
      <c r="D1034">
        <v>3277</v>
      </c>
      <c r="E1034">
        <v>20</v>
      </c>
      <c r="F1034">
        <v>17</v>
      </c>
      <c r="G1034">
        <v>12.79469855129719</v>
      </c>
      <c r="H1034" t="s">
        <v>99</v>
      </c>
      <c r="I1034" t="s">
        <v>29</v>
      </c>
      <c r="J1034">
        <v>1</v>
      </c>
      <c r="K1034">
        <v>62</v>
      </c>
      <c r="L1034" t="s">
        <v>564</v>
      </c>
      <c r="M1034">
        <v>2328</v>
      </c>
      <c r="N1034">
        <v>2.146407064981759</v>
      </c>
      <c r="O1034">
        <v>14.314888790249819</v>
      </c>
      <c r="P1034">
        <v>2.908077796921134</v>
      </c>
      <c r="Q1034">
        <v>14.28640530258417</v>
      </c>
      <c r="R1034">
        <v>3</v>
      </c>
      <c r="S1034" t="s">
        <v>565</v>
      </c>
      <c r="T1034">
        <v>2023</v>
      </c>
      <c r="U1034" s="1">
        <v>45901.600802198707</v>
      </c>
      <c r="V1034" t="s">
        <v>32</v>
      </c>
      <c r="W1034" t="s">
        <v>162</v>
      </c>
      <c r="X1034">
        <v>1.3272893892784769</v>
      </c>
      <c r="Y1034">
        <v>1.328675304997823</v>
      </c>
      <c r="Z1034">
        <v>4.6851112097501746</v>
      </c>
      <c r="AA1034">
        <v>2.3969072164948448</v>
      </c>
      <c r="AB1034">
        <v>0.5534106491075963</v>
      </c>
    </row>
    <row r="1035" spans="1:28" x14ac:dyDescent="0.25">
      <c r="A1035">
        <v>4</v>
      </c>
      <c r="B1035">
        <v>34</v>
      </c>
      <c r="C1035">
        <v>19</v>
      </c>
      <c r="D1035">
        <v>8636</v>
      </c>
      <c r="E1035">
        <v>32</v>
      </c>
      <c r="F1035">
        <v>17</v>
      </c>
      <c r="G1035">
        <v>17.96570365875959</v>
      </c>
      <c r="H1035" t="s">
        <v>648</v>
      </c>
      <c r="I1035" t="s">
        <v>29</v>
      </c>
      <c r="J1035">
        <v>0</v>
      </c>
      <c r="K1035">
        <v>79</v>
      </c>
      <c r="L1035" t="s">
        <v>595</v>
      </c>
      <c r="M1035">
        <v>2662</v>
      </c>
      <c r="N1035">
        <v>3.6278544832020998</v>
      </c>
      <c r="O1035">
        <v>20.2459891140461</v>
      </c>
      <c r="P1035">
        <v>5.1789907719939947</v>
      </c>
      <c r="Q1035">
        <v>23.105693338438869</v>
      </c>
      <c r="R1035">
        <v>4</v>
      </c>
      <c r="S1035" t="s">
        <v>565</v>
      </c>
      <c r="T1035">
        <v>2023</v>
      </c>
      <c r="U1035" s="1">
        <v>45901.600802198707</v>
      </c>
      <c r="V1035" t="s">
        <v>32</v>
      </c>
      <c r="W1035" t="s">
        <v>162</v>
      </c>
      <c r="X1035">
        <v>0.93845748375011895</v>
      </c>
      <c r="Y1035">
        <v>0.94624737905610823</v>
      </c>
      <c r="Z1035">
        <v>-1.245989114046097</v>
      </c>
      <c r="AA1035">
        <v>2.670924117205109</v>
      </c>
      <c r="AB1035">
        <v>0.68450000761237739</v>
      </c>
    </row>
    <row r="1036" spans="1:28" x14ac:dyDescent="0.25">
      <c r="A1036">
        <v>8</v>
      </c>
      <c r="B1036">
        <v>34</v>
      </c>
      <c r="C1036">
        <v>16</v>
      </c>
      <c r="D1036">
        <v>318</v>
      </c>
      <c r="E1036">
        <v>26</v>
      </c>
      <c r="F1036">
        <v>12</v>
      </c>
      <c r="G1036">
        <v>19.882114160805941</v>
      </c>
      <c r="H1036" t="s">
        <v>105</v>
      </c>
      <c r="I1036" t="s">
        <v>35</v>
      </c>
      <c r="J1036">
        <v>0</v>
      </c>
      <c r="K1036">
        <v>116</v>
      </c>
      <c r="L1036" t="s">
        <v>567</v>
      </c>
      <c r="M1036">
        <v>2651</v>
      </c>
      <c r="N1036">
        <v>5.6761515941470861</v>
      </c>
      <c r="O1036">
        <v>22.922494817525148</v>
      </c>
      <c r="P1036">
        <v>4.60744265653193</v>
      </c>
      <c r="Q1036">
        <v>26.331584900617599</v>
      </c>
      <c r="R1036">
        <v>4</v>
      </c>
      <c r="S1036" t="s">
        <v>565</v>
      </c>
      <c r="T1036">
        <v>2023</v>
      </c>
      <c r="U1036" s="1">
        <v>45901.600802198707</v>
      </c>
      <c r="V1036" t="s">
        <v>32</v>
      </c>
      <c r="W1036" t="s">
        <v>162</v>
      </c>
      <c r="X1036">
        <v>0.69800430220917187</v>
      </c>
      <c r="Y1036">
        <v>0.60355754438106335</v>
      </c>
      <c r="Z1036">
        <v>-6.9224948175251484</v>
      </c>
      <c r="AA1036">
        <v>3.938136552244436</v>
      </c>
      <c r="AB1036">
        <v>0.77820616128904696</v>
      </c>
    </row>
    <row r="1037" spans="1:28" x14ac:dyDescent="0.25">
      <c r="A1037">
        <v>2</v>
      </c>
      <c r="B1037">
        <v>32</v>
      </c>
      <c r="C1037">
        <v>16</v>
      </c>
      <c r="D1037">
        <v>3210</v>
      </c>
      <c r="E1037">
        <v>38</v>
      </c>
      <c r="F1037">
        <v>15</v>
      </c>
      <c r="G1037">
        <v>14.652921769768</v>
      </c>
      <c r="H1037" t="s">
        <v>254</v>
      </c>
      <c r="I1037" t="s">
        <v>29</v>
      </c>
      <c r="J1037">
        <v>0</v>
      </c>
      <c r="K1037">
        <v>64</v>
      </c>
      <c r="L1037" t="s">
        <v>602</v>
      </c>
      <c r="M1037">
        <v>2329</v>
      </c>
      <c r="N1037">
        <v>5.3405691534280777</v>
      </c>
      <c r="O1037">
        <v>15.413016859441999</v>
      </c>
      <c r="P1037">
        <v>5.4832504671066999</v>
      </c>
      <c r="Q1037">
        <v>22.803964208811522</v>
      </c>
      <c r="R1037">
        <v>2</v>
      </c>
      <c r="S1037" t="s">
        <v>565</v>
      </c>
      <c r="T1037">
        <v>2023</v>
      </c>
      <c r="U1037" s="1">
        <v>45901.600802198707</v>
      </c>
      <c r="V1037" t="s">
        <v>32</v>
      </c>
      <c r="W1037" t="s">
        <v>162</v>
      </c>
      <c r="X1037">
        <v>1.038083598163225</v>
      </c>
      <c r="Y1037">
        <v>1.0236866227558861</v>
      </c>
      <c r="Z1037">
        <v>0.58698314055800438</v>
      </c>
      <c r="AA1037">
        <v>2.473164448261056</v>
      </c>
      <c r="AB1037">
        <v>0.59560820839406592</v>
      </c>
    </row>
    <row r="1038" spans="1:28" x14ac:dyDescent="0.25">
      <c r="A1038">
        <v>2</v>
      </c>
      <c r="B1038">
        <v>33</v>
      </c>
      <c r="C1038">
        <v>14</v>
      </c>
      <c r="D1038">
        <v>10794</v>
      </c>
      <c r="E1038">
        <v>19</v>
      </c>
      <c r="F1038">
        <v>13</v>
      </c>
      <c r="G1038">
        <v>13.571186283603311</v>
      </c>
      <c r="H1038" t="s">
        <v>671</v>
      </c>
      <c r="I1038" t="s">
        <v>29</v>
      </c>
      <c r="J1038">
        <v>0</v>
      </c>
      <c r="K1038">
        <v>84</v>
      </c>
      <c r="L1038" t="s">
        <v>575</v>
      </c>
      <c r="M1038">
        <v>2526</v>
      </c>
      <c r="N1038">
        <v>1.8277321644127369</v>
      </c>
      <c r="O1038">
        <v>15.85147164948285</v>
      </c>
      <c r="P1038">
        <v>2.9339077603071928</v>
      </c>
      <c r="Q1038">
        <v>14.745851553976539</v>
      </c>
      <c r="R1038">
        <v>6</v>
      </c>
      <c r="S1038" t="s">
        <v>565</v>
      </c>
      <c r="T1038">
        <v>2023</v>
      </c>
      <c r="U1038" s="1">
        <v>45901.600802198707</v>
      </c>
      <c r="V1038" t="s">
        <v>32</v>
      </c>
      <c r="W1038" t="s">
        <v>162</v>
      </c>
      <c r="X1038">
        <v>0.88319875337610998</v>
      </c>
      <c r="Y1038">
        <v>0.95791183823823733</v>
      </c>
      <c r="Z1038">
        <v>-1.851471649482846</v>
      </c>
      <c r="AA1038">
        <v>2.9928741092636582</v>
      </c>
      <c r="AB1038">
        <v>0.5647792749221916</v>
      </c>
    </row>
    <row r="1039" spans="1:28" x14ac:dyDescent="0.25">
      <c r="A1039">
        <v>4</v>
      </c>
      <c r="B1039">
        <v>20</v>
      </c>
      <c r="C1039">
        <v>13</v>
      </c>
      <c r="D1039">
        <v>8187</v>
      </c>
      <c r="E1039">
        <v>21</v>
      </c>
      <c r="F1039">
        <v>10</v>
      </c>
      <c r="G1039">
        <v>7.3596123568713674</v>
      </c>
      <c r="H1039" t="s">
        <v>675</v>
      </c>
      <c r="I1039" t="s">
        <v>32</v>
      </c>
      <c r="J1039">
        <v>1</v>
      </c>
      <c r="K1039">
        <v>57</v>
      </c>
      <c r="L1039" t="s">
        <v>620</v>
      </c>
      <c r="M1039">
        <v>1767</v>
      </c>
      <c r="N1039">
        <v>2.2778653837740421</v>
      </c>
      <c r="O1039">
        <v>9.6398977674543858</v>
      </c>
      <c r="P1039">
        <v>2.777391741983593</v>
      </c>
      <c r="Q1039">
        <v>11.434298023581499</v>
      </c>
      <c r="R1039">
        <v>0</v>
      </c>
      <c r="S1039" t="s">
        <v>565</v>
      </c>
      <c r="T1039">
        <v>2023</v>
      </c>
      <c r="U1039" s="1">
        <v>45901.600802198707</v>
      </c>
      <c r="V1039" t="s">
        <v>32</v>
      </c>
      <c r="W1039" t="s">
        <v>162</v>
      </c>
      <c r="X1039">
        <v>1.348562019390888</v>
      </c>
      <c r="Y1039">
        <v>1.358767216953134</v>
      </c>
      <c r="Z1039">
        <v>3.3601022325456138</v>
      </c>
      <c r="AA1039">
        <v>2.903225806451613</v>
      </c>
      <c r="AB1039">
        <v>0.4909964907022607</v>
      </c>
    </row>
    <row r="1040" spans="1:28" x14ac:dyDescent="0.25">
      <c r="A1040">
        <v>2</v>
      </c>
      <c r="B1040">
        <v>30</v>
      </c>
      <c r="C1040">
        <v>11</v>
      </c>
      <c r="D1040">
        <v>8997</v>
      </c>
      <c r="E1040">
        <v>22</v>
      </c>
      <c r="F1040">
        <v>8</v>
      </c>
      <c r="G1040">
        <v>8.4931678418070078</v>
      </c>
      <c r="H1040" t="s">
        <v>647</v>
      </c>
      <c r="I1040" t="s">
        <v>29</v>
      </c>
      <c r="J1040">
        <v>0</v>
      </c>
      <c r="K1040">
        <v>49</v>
      </c>
      <c r="L1040" t="s">
        <v>583</v>
      </c>
      <c r="M1040">
        <v>1985</v>
      </c>
      <c r="N1040">
        <v>4.1571652777493</v>
      </c>
      <c r="O1040">
        <v>10.773453200235959</v>
      </c>
      <c r="P1040">
        <v>2.8695479519665241</v>
      </c>
      <c r="Q1040">
        <v>13.66520450077951</v>
      </c>
      <c r="R1040">
        <v>4</v>
      </c>
      <c r="S1040" t="s">
        <v>565</v>
      </c>
      <c r="T1040">
        <v>2023</v>
      </c>
      <c r="U1040" s="1">
        <v>45901.600802198707</v>
      </c>
      <c r="V1040" t="s">
        <v>32</v>
      </c>
      <c r="W1040" t="s">
        <v>162</v>
      </c>
      <c r="X1040">
        <v>1.021028243735173</v>
      </c>
      <c r="Y1040">
        <v>0.94193358108626746</v>
      </c>
      <c r="Z1040">
        <v>0.22654679976403541</v>
      </c>
      <c r="AA1040">
        <v>2.2216624685138542</v>
      </c>
      <c r="AB1040">
        <v>0.48846891084193289</v>
      </c>
    </row>
    <row r="1041" spans="1:28" x14ac:dyDescent="0.25">
      <c r="A1041">
        <v>1</v>
      </c>
      <c r="B1041">
        <v>29</v>
      </c>
      <c r="C1041">
        <v>11</v>
      </c>
      <c r="D1041">
        <v>11767</v>
      </c>
      <c r="E1041">
        <v>16</v>
      </c>
      <c r="F1041">
        <v>10</v>
      </c>
      <c r="G1041">
        <v>9.2820875495672244</v>
      </c>
      <c r="H1041" t="s">
        <v>676</v>
      </c>
      <c r="I1041" t="s">
        <v>29</v>
      </c>
      <c r="J1041">
        <v>0</v>
      </c>
      <c r="K1041">
        <v>55</v>
      </c>
      <c r="L1041" t="s">
        <v>568</v>
      </c>
      <c r="M1041">
        <v>1432</v>
      </c>
      <c r="N1041">
        <v>2.3267749901860948</v>
      </c>
      <c r="O1041">
        <v>10.0421827211976</v>
      </c>
      <c r="P1041">
        <v>5.9041657019406557</v>
      </c>
      <c r="Q1041">
        <v>14.444563800469041</v>
      </c>
      <c r="R1041">
        <v>1</v>
      </c>
      <c r="S1041" t="s">
        <v>565</v>
      </c>
      <c r="T1041">
        <v>2023</v>
      </c>
      <c r="U1041" s="1">
        <v>45901.600802198707</v>
      </c>
      <c r="V1041" t="s">
        <v>32</v>
      </c>
      <c r="W1041" t="s">
        <v>162</v>
      </c>
      <c r="X1041">
        <v>1.0953793916516359</v>
      </c>
      <c r="Y1041">
        <v>1.0773438568208991</v>
      </c>
      <c r="Z1041">
        <v>0.95781727880239664</v>
      </c>
      <c r="AA1041">
        <v>3.4567039106145252</v>
      </c>
      <c r="AB1041">
        <v>0.63114276879035214</v>
      </c>
    </row>
    <row r="1042" spans="1:28" x14ac:dyDescent="0.25">
      <c r="A1042">
        <v>1</v>
      </c>
      <c r="B1042">
        <v>30</v>
      </c>
      <c r="C1042">
        <v>10</v>
      </c>
      <c r="D1042">
        <v>8056</v>
      </c>
      <c r="E1042">
        <v>28</v>
      </c>
      <c r="F1042">
        <v>8</v>
      </c>
      <c r="G1042">
        <v>8.1656502094119787</v>
      </c>
      <c r="H1042" t="s">
        <v>661</v>
      </c>
      <c r="I1042" t="s">
        <v>29</v>
      </c>
      <c r="J1042">
        <v>0</v>
      </c>
      <c r="K1042">
        <v>61</v>
      </c>
      <c r="L1042" t="s">
        <v>591</v>
      </c>
      <c r="M1042">
        <v>2185</v>
      </c>
      <c r="N1042">
        <v>2.3931171717122202</v>
      </c>
      <c r="O1042">
        <v>9.6858404483646154</v>
      </c>
      <c r="P1042">
        <v>3.5458899727091202</v>
      </c>
      <c r="Q1042">
        <v>13.255149846896529</v>
      </c>
      <c r="R1042">
        <v>6</v>
      </c>
      <c r="S1042" t="s">
        <v>565</v>
      </c>
      <c r="T1042">
        <v>2023</v>
      </c>
      <c r="U1042" s="1">
        <v>45901.600802198707</v>
      </c>
      <c r="V1042" t="s">
        <v>32</v>
      </c>
      <c r="W1042" t="s">
        <v>162</v>
      </c>
      <c r="X1042">
        <v>1.0324349294529649</v>
      </c>
      <c r="Y1042">
        <v>0.97971377598062614</v>
      </c>
      <c r="Z1042">
        <v>0.31415955163538462</v>
      </c>
      <c r="AA1042">
        <v>2.51258581235698</v>
      </c>
      <c r="AB1042">
        <v>0.39895910313630001</v>
      </c>
    </row>
    <row r="1043" spans="1:28" x14ac:dyDescent="0.25">
      <c r="A1043">
        <v>6</v>
      </c>
      <c r="B1043">
        <v>30</v>
      </c>
      <c r="C1043">
        <v>10</v>
      </c>
      <c r="D1043">
        <v>8239</v>
      </c>
      <c r="E1043">
        <v>34</v>
      </c>
      <c r="F1043">
        <v>10</v>
      </c>
      <c r="G1043">
        <v>7.0445417705923319</v>
      </c>
      <c r="H1043" t="s">
        <v>677</v>
      </c>
      <c r="I1043" t="s">
        <v>35</v>
      </c>
      <c r="J1043">
        <v>0</v>
      </c>
      <c r="K1043">
        <v>61</v>
      </c>
      <c r="L1043" t="s">
        <v>602</v>
      </c>
      <c r="M1043">
        <v>2159</v>
      </c>
      <c r="N1043">
        <v>5.270321061834693</v>
      </c>
      <c r="O1043">
        <v>7.0445417705923319</v>
      </c>
      <c r="P1043">
        <v>7.1679164636880159</v>
      </c>
      <c r="Q1043">
        <v>17.906794961541891</v>
      </c>
      <c r="R1043">
        <v>4</v>
      </c>
      <c r="S1043" t="s">
        <v>565</v>
      </c>
      <c r="T1043">
        <v>2023</v>
      </c>
      <c r="U1043" s="1">
        <v>45901.600802198707</v>
      </c>
      <c r="V1043" t="s">
        <v>32</v>
      </c>
      <c r="W1043" t="s">
        <v>162</v>
      </c>
      <c r="X1043">
        <v>1.4195387472532739</v>
      </c>
      <c r="Y1043">
        <v>1.4195387472532739</v>
      </c>
      <c r="Z1043">
        <v>2.9554582294076681</v>
      </c>
      <c r="AA1043">
        <v>2.5428439092172299</v>
      </c>
      <c r="AB1043">
        <v>0.29365852679634552</v>
      </c>
    </row>
    <row r="1044" spans="1:28" x14ac:dyDescent="0.25">
      <c r="A1044">
        <v>5</v>
      </c>
      <c r="B1044">
        <v>34</v>
      </c>
      <c r="C1044">
        <v>22</v>
      </c>
      <c r="D1044">
        <v>7490</v>
      </c>
      <c r="E1044">
        <v>47</v>
      </c>
      <c r="F1044">
        <v>15</v>
      </c>
      <c r="G1044">
        <v>12.4419105052948</v>
      </c>
      <c r="H1044" t="s">
        <v>129</v>
      </c>
      <c r="I1044" t="s">
        <v>35</v>
      </c>
      <c r="J1044">
        <v>0</v>
      </c>
      <c r="K1044">
        <v>120</v>
      </c>
      <c r="L1044" t="s">
        <v>567</v>
      </c>
      <c r="M1044">
        <v>2851</v>
      </c>
      <c r="N1044">
        <v>6.8265881240367889</v>
      </c>
      <c r="O1044">
        <v>19.282766986638311</v>
      </c>
      <c r="P1044">
        <v>10.89280352927744</v>
      </c>
      <c r="Q1044">
        <v>26.145459055900581</v>
      </c>
      <c r="R1044">
        <v>3</v>
      </c>
      <c r="S1044" t="s">
        <v>565</v>
      </c>
      <c r="T1044">
        <v>2024</v>
      </c>
      <c r="U1044" s="1">
        <v>45901.600802198707</v>
      </c>
      <c r="V1044" t="s">
        <v>32</v>
      </c>
      <c r="W1044" t="s">
        <v>182</v>
      </c>
      <c r="X1044">
        <v>1.140915098711951</v>
      </c>
      <c r="Y1044">
        <v>1.2056026277971199</v>
      </c>
      <c r="Z1044">
        <v>2.717233013361692</v>
      </c>
      <c r="AA1044">
        <v>3.7881445106980012</v>
      </c>
      <c r="AB1044">
        <v>0.60871589926252112</v>
      </c>
    </row>
    <row r="1045" spans="1:28" x14ac:dyDescent="0.25">
      <c r="A1045">
        <v>7</v>
      </c>
      <c r="B1045">
        <v>29</v>
      </c>
      <c r="C1045">
        <v>21</v>
      </c>
      <c r="D1045">
        <v>3226</v>
      </c>
      <c r="E1045">
        <v>61</v>
      </c>
      <c r="F1045">
        <v>20</v>
      </c>
      <c r="G1045">
        <v>17.775221949443221</v>
      </c>
      <c r="H1045" t="s">
        <v>590</v>
      </c>
      <c r="I1045" t="s">
        <v>35</v>
      </c>
      <c r="J1045">
        <v>0</v>
      </c>
      <c r="K1045">
        <v>97</v>
      </c>
      <c r="L1045" t="s">
        <v>568</v>
      </c>
      <c r="M1045">
        <v>1747</v>
      </c>
      <c r="N1045">
        <v>8.8014931157231331</v>
      </c>
      <c r="O1045">
        <v>18.535317128524181</v>
      </c>
      <c r="P1045">
        <v>9.6132100801914913</v>
      </c>
      <c r="Q1045">
        <v>32.066798940300941</v>
      </c>
      <c r="R1045">
        <v>1</v>
      </c>
      <c r="S1045" t="s">
        <v>565</v>
      </c>
      <c r="T1045">
        <v>2024</v>
      </c>
      <c r="U1045" s="1">
        <v>45901.600802198707</v>
      </c>
      <c r="V1045" t="s">
        <v>32</v>
      </c>
      <c r="W1045" t="s">
        <v>182</v>
      </c>
      <c r="X1045">
        <v>1.13297225261298</v>
      </c>
      <c r="Y1045">
        <v>1.125161759267173</v>
      </c>
      <c r="Z1045">
        <v>2.4646828714758162</v>
      </c>
      <c r="AA1045">
        <v>4.9971379507727534</v>
      </c>
      <c r="AB1045">
        <v>0.9548818211603759</v>
      </c>
    </row>
    <row r="1046" spans="1:28" x14ac:dyDescent="0.25">
      <c r="A1046">
        <v>3</v>
      </c>
      <c r="B1046">
        <v>33</v>
      </c>
      <c r="C1046">
        <v>17</v>
      </c>
      <c r="D1046">
        <v>8056</v>
      </c>
      <c r="E1046">
        <v>19</v>
      </c>
      <c r="F1046">
        <v>12</v>
      </c>
      <c r="G1046">
        <v>11.899386631324891</v>
      </c>
      <c r="H1046" t="s">
        <v>661</v>
      </c>
      <c r="I1046" t="s">
        <v>35</v>
      </c>
      <c r="J1046">
        <v>0</v>
      </c>
      <c r="K1046">
        <v>76</v>
      </c>
      <c r="L1046" t="s">
        <v>591</v>
      </c>
      <c r="M1046">
        <v>2630</v>
      </c>
      <c r="N1046">
        <v>2.8822443578392272</v>
      </c>
      <c r="O1046">
        <v>17.980147773399949</v>
      </c>
      <c r="P1046">
        <v>4.4380427226424217</v>
      </c>
      <c r="Q1046">
        <v>17.828726351261139</v>
      </c>
      <c r="R1046">
        <v>2</v>
      </c>
      <c r="S1046" t="s">
        <v>565</v>
      </c>
      <c r="T1046">
        <v>2024</v>
      </c>
      <c r="U1046" s="1">
        <v>45901.600802198707</v>
      </c>
      <c r="V1046" t="s">
        <v>32</v>
      </c>
      <c r="W1046" t="s">
        <v>182</v>
      </c>
      <c r="X1046">
        <v>0.94548722370068661</v>
      </c>
      <c r="Y1046">
        <v>1.008455340749266</v>
      </c>
      <c r="Z1046">
        <v>-0.98014777339994907</v>
      </c>
      <c r="AA1046">
        <v>2.6007604562737638</v>
      </c>
      <c r="AB1046">
        <v>0.61529022798707045</v>
      </c>
    </row>
    <row r="1047" spans="1:28" x14ac:dyDescent="0.25">
      <c r="A1047">
        <v>5</v>
      </c>
      <c r="B1047">
        <v>32</v>
      </c>
      <c r="C1047">
        <v>16</v>
      </c>
      <c r="D1047">
        <v>8636</v>
      </c>
      <c r="E1047">
        <v>36</v>
      </c>
      <c r="F1047">
        <v>10</v>
      </c>
      <c r="G1047">
        <v>14.134102882817389</v>
      </c>
      <c r="H1047" t="s">
        <v>648</v>
      </c>
      <c r="I1047" t="s">
        <v>29</v>
      </c>
      <c r="J1047">
        <v>0</v>
      </c>
      <c r="K1047">
        <v>73</v>
      </c>
      <c r="L1047" t="s">
        <v>595</v>
      </c>
      <c r="M1047">
        <v>2535</v>
      </c>
      <c r="N1047">
        <v>4.7038160227239132</v>
      </c>
      <c r="O1047">
        <v>19.454768821597099</v>
      </c>
      <c r="P1047">
        <v>6.0098191630095243</v>
      </c>
      <c r="Q1047">
        <v>22.4631368406117</v>
      </c>
      <c r="R1047">
        <v>4</v>
      </c>
      <c r="S1047" t="s">
        <v>565</v>
      </c>
      <c r="T1047">
        <v>2024</v>
      </c>
      <c r="U1047" s="1">
        <v>45901.600802198707</v>
      </c>
      <c r="V1047" t="s">
        <v>32</v>
      </c>
      <c r="W1047" t="s">
        <v>182</v>
      </c>
      <c r="X1047">
        <v>0.82242046393468848</v>
      </c>
      <c r="Y1047">
        <v>0.70750864649194301</v>
      </c>
      <c r="Z1047">
        <v>-3.4547688215970989</v>
      </c>
      <c r="AA1047">
        <v>2.5917159763313609</v>
      </c>
      <c r="AB1047">
        <v>0.69070185165433484</v>
      </c>
    </row>
    <row r="1048" spans="1:28" x14ac:dyDescent="0.25">
      <c r="A1048">
        <v>2</v>
      </c>
      <c r="B1048">
        <v>30</v>
      </c>
      <c r="C1048">
        <v>15</v>
      </c>
      <c r="D1048">
        <v>3277</v>
      </c>
      <c r="E1048">
        <v>26</v>
      </c>
      <c r="F1048">
        <v>10</v>
      </c>
      <c r="G1048">
        <v>13.44497322291136</v>
      </c>
      <c r="H1048" t="s">
        <v>99</v>
      </c>
      <c r="I1048" t="s">
        <v>29</v>
      </c>
      <c r="J1048">
        <v>0</v>
      </c>
      <c r="K1048">
        <v>59</v>
      </c>
      <c r="L1048" t="s">
        <v>564</v>
      </c>
      <c r="M1048">
        <v>2092</v>
      </c>
      <c r="N1048">
        <v>3.784724845550953</v>
      </c>
      <c r="O1048">
        <v>18.005544029176239</v>
      </c>
      <c r="P1048">
        <v>5.8440144322812557</v>
      </c>
      <c r="Q1048">
        <v>20.648087617009882</v>
      </c>
      <c r="R1048">
        <v>5</v>
      </c>
      <c r="S1048" t="s">
        <v>565</v>
      </c>
      <c r="T1048">
        <v>2024</v>
      </c>
      <c r="U1048" s="1">
        <v>45901.600802198707</v>
      </c>
      <c r="V1048" t="s">
        <v>32</v>
      </c>
      <c r="W1048" t="s">
        <v>182</v>
      </c>
      <c r="X1048">
        <v>0.83307674434573908</v>
      </c>
      <c r="Y1048">
        <v>0.74377239985566979</v>
      </c>
      <c r="Z1048">
        <v>-3.0055440291762352</v>
      </c>
      <c r="AA1048">
        <v>2.5382409177820269</v>
      </c>
      <c r="AB1048">
        <v>0.77461709494544029</v>
      </c>
    </row>
    <row r="1049" spans="1:28" x14ac:dyDescent="0.25">
      <c r="A1049">
        <v>10</v>
      </c>
      <c r="B1049">
        <v>34</v>
      </c>
      <c r="C1049">
        <v>14</v>
      </c>
      <c r="D1049">
        <v>10016</v>
      </c>
      <c r="E1049">
        <v>50</v>
      </c>
      <c r="F1049">
        <v>14</v>
      </c>
      <c r="G1049">
        <v>15.34269677475095</v>
      </c>
      <c r="H1049" t="s">
        <v>678</v>
      </c>
      <c r="I1049" t="s">
        <v>35</v>
      </c>
      <c r="J1049">
        <v>0</v>
      </c>
      <c r="K1049">
        <v>74</v>
      </c>
      <c r="L1049" t="s">
        <v>568</v>
      </c>
      <c r="M1049">
        <v>2223</v>
      </c>
      <c r="N1049">
        <v>9.9342324007302523</v>
      </c>
      <c r="O1049">
        <v>15.34269677475095</v>
      </c>
      <c r="P1049">
        <v>14.24035503994674</v>
      </c>
      <c r="Q1049">
        <v>34.758061334490783</v>
      </c>
      <c r="R1049">
        <v>2</v>
      </c>
      <c r="S1049" t="s">
        <v>565</v>
      </c>
      <c r="T1049">
        <v>2024</v>
      </c>
      <c r="U1049" s="1">
        <v>45901.600802198707</v>
      </c>
      <c r="V1049" t="s">
        <v>32</v>
      </c>
      <c r="W1049" t="s">
        <v>182</v>
      </c>
      <c r="X1049">
        <v>0.9124862601103747</v>
      </c>
      <c r="Y1049">
        <v>0.9124862601103747</v>
      </c>
      <c r="Z1049">
        <v>-1.342696774750948</v>
      </c>
      <c r="AA1049">
        <v>2.9959514170040489</v>
      </c>
      <c r="AB1049">
        <v>0.62116181274295335</v>
      </c>
    </row>
    <row r="1050" spans="1:28" x14ac:dyDescent="0.25">
      <c r="A1050">
        <v>3</v>
      </c>
      <c r="B1050">
        <v>27</v>
      </c>
      <c r="C1050">
        <v>14</v>
      </c>
      <c r="D1050">
        <v>11817</v>
      </c>
      <c r="E1050">
        <v>18</v>
      </c>
      <c r="F1050">
        <v>14</v>
      </c>
      <c r="G1050">
        <v>17.624735414981838</v>
      </c>
      <c r="H1050" t="s">
        <v>679</v>
      </c>
      <c r="I1050" t="s">
        <v>49</v>
      </c>
      <c r="J1050">
        <v>0</v>
      </c>
      <c r="K1050">
        <v>61</v>
      </c>
      <c r="L1050" t="s">
        <v>645</v>
      </c>
      <c r="M1050">
        <v>2331</v>
      </c>
      <c r="N1050">
        <v>1.999370910227299</v>
      </c>
      <c r="O1050">
        <v>17.624735414981838</v>
      </c>
      <c r="P1050">
        <v>3.1647512875497341</v>
      </c>
      <c r="Q1050">
        <v>21.057025346905</v>
      </c>
      <c r="R1050">
        <v>5</v>
      </c>
      <c r="S1050" t="s">
        <v>565</v>
      </c>
      <c r="T1050">
        <v>2024</v>
      </c>
      <c r="U1050" s="1">
        <v>45901.600802198707</v>
      </c>
      <c r="V1050" t="s">
        <v>32</v>
      </c>
      <c r="W1050" t="s">
        <v>182</v>
      </c>
      <c r="X1050">
        <v>0.79433816567250992</v>
      </c>
      <c r="Y1050">
        <v>0.79433816567250992</v>
      </c>
      <c r="Z1050">
        <v>-3.624735414981842</v>
      </c>
      <c r="AA1050">
        <v>2.3552123552123549</v>
      </c>
      <c r="AB1050">
        <v>0.68049171486416382</v>
      </c>
    </row>
    <row r="1051" spans="1:28" x14ac:dyDescent="0.25">
      <c r="A1051">
        <v>5</v>
      </c>
      <c r="B1051">
        <v>33</v>
      </c>
      <c r="C1051">
        <v>13</v>
      </c>
      <c r="D1051">
        <v>6401</v>
      </c>
      <c r="E1051">
        <v>34</v>
      </c>
      <c r="F1051">
        <v>13</v>
      </c>
      <c r="G1051">
        <v>10.690865226089951</v>
      </c>
      <c r="H1051" t="s">
        <v>649</v>
      </c>
      <c r="I1051" t="s">
        <v>35</v>
      </c>
      <c r="J1051">
        <v>0</v>
      </c>
      <c r="K1051">
        <v>81</v>
      </c>
      <c r="L1051" t="s">
        <v>680</v>
      </c>
      <c r="M1051">
        <v>2122</v>
      </c>
      <c r="N1051">
        <v>4.5608590040355921</v>
      </c>
      <c r="O1051">
        <v>10.690865226089951</v>
      </c>
      <c r="P1051">
        <v>3.9587272256612782</v>
      </c>
      <c r="Q1051">
        <v>17.551965171471242</v>
      </c>
      <c r="R1051">
        <v>2</v>
      </c>
      <c r="S1051" t="s">
        <v>565</v>
      </c>
      <c r="T1051">
        <v>2024</v>
      </c>
      <c r="U1051" s="1">
        <v>45901.600802198707</v>
      </c>
      <c r="V1051" t="s">
        <v>32</v>
      </c>
      <c r="W1051" t="s">
        <v>182</v>
      </c>
      <c r="X1051">
        <v>1.215991383772647</v>
      </c>
      <c r="Y1051">
        <v>1.215991383772647</v>
      </c>
      <c r="Z1051">
        <v>2.3091347739100461</v>
      </c>
      <c r="AA1051">
        <v>3.4354382657869942</v>
      </c>
      <c r="AB1051">
        <v>0.45342972212445609</v>
      </c>
    </row>
    <row r="1052" spans="1:28" x14ac:dyDescent="0.25">
      <c r="A1052">
        <v>2</v>
      </c>
      <c r="B1052">
        <v>31</v>
      </c>
      <c r="C1052">
        <v>13</v>
      </c>
      <c r="D1052">
        <v>6905</v>
      </c>
      <c r="E1052">
        <v>35</v>
      </c>
      <c r="F1052">
        <v>13</v>
      </c>
      <c r="G1052">
        <v>11.832614213228229</v>
      </c>
      <c r="H1052" t="s">
        <v>644</v>
      </c>
      <c r="I1052" t="s">
        <v>29</v>
      </c>
      <c r="J1052">
        <v>0</v>
      </c>
      <c r="K1052">
        <v>54</v>
      </c>
      <c r="L1052" t="s">
        <v>674</v>
      </c>
      <c r="M1052">
        <v>2533</v>
      </c>
      <c r="N1052">
        <v>3.065709619782865</v>
      </c>
      <c r="O1052">
        <v>12.59270936623216</v>
      </c>
      <c r="P1052">
        <v>3.2168174814432859</v>
      </c>
      <c r="Q1052">
        <v>12.95611444395036</v>
      </c>
      <c r="R1052">
        <v>5</v>
      </c>
      <c r="S1052" t="s">
        <v>565</v>
      </c>
      <c r="T1052">
        <v>2024</v>
      </c>
      <c r="U1052" s="1">
        <v>45901.600802198707</v>
      </c>
      <c r="V1052" t="s">
        <v>32</v>
      </c>
      <c r="W1052" t="s">
        <v>182</v>
      </c>
      <c r="X1052">
        <v>1.0323433680491361</v>
      </c>
      <c r="Y1052">
        <v>1.098658315545072</v>
      </c>
      <c r="Z1052">
        <v>0.40729063376784319</v>
      </c>
      <c r="AA1052">
        <v>1.9186735096723251</v>
      </c>
      <c r="AB1052">
        <v>0.44743144214800401</v>
      </c>
    </row>
    <row r="1053" spans="1:28" x14ac:dyDescent="0.25">
      <c r="A1053">
        <v>2</v>
      </c>
      <c r="B1053">
        <v>16</v>
      </c>
      <c r="C1053">
        <v>13</v>
      </c>
      <c r="D1053">
        <v>10349</v>
      </c>
      <c r="E1053">
        <v>22</v>
      </c>
      <c r="F1053">
        <v>12</v>
      </c>
      <c r="G1053">
        <v>10.685056135058399</v>
      </c>
      <c r="H1053" t="s">
        <v>681</v>
      </c>
      <c r="I1053" t="s">
        <v>32</v>
      </c>
      <c r="J1053">
        <v>0</v>
      </c>
      <c r="K1053">
        <v>42</v>
      </c>
      <c r="L1053" t="s">
        <v>602</v>
      </c>
      <c r="M1053">
        <v>1255</v>
      </c>
      <c r="N1053">
        <v>4.7935746312141418</v>
      </c>
      <c r="O1053">
        <v>12.205246433615679</v>
      </c>
      <c r="P1053">
        <v>3.38298643194139</v>
      </c>
      <c r="Q1053">
        <v>17.847002469003201</v>
      </c>
      <c r="R1053">
        <v>0</v>
      </c>
      <c r="S1053" t="s">
        <v>565</v>
      </c>
      <c r="T1053">
        <v>2024</v>
      </c>
      <c r="U1053" s="1">
        <v>45901.600802198707</v>
      </c>
      <c r="V1053" t="s">
        <v>32</v>
      </c>
      <c r="W1053" t="s">
        <v>182</v>
      </c>
      <c r="X1053">
        <v>1.0651157328700389</v>
      </c>
      <c r="Y1053">
        <v>1.1230638237479329</v>
      </c>
      <c r="Z1053">
        <v>0.79475356638431549</v>
      </c>
      <c r="AA1053">
        <v>3.0119521912350602</v>
      </c>
      <c r="AB1053">
        <v>0.87527663667363464</v>
      </c>
    </row>
    <row r="1054" spans="1:28" x14ac:dyDescent="0.25">
      <c r="A1054">
        <v>8</v>
      </c>
      <c r="B1054">
        <v>33</v>
      </c>
      <c r="C1054">
        <v>12</v>
      </c>
      <c r="D1054">
        <v>8006</v>
      </c>
      <c r="E1054">
        <v>32</v>
      </c>
      <c r="F1054">
        <v>12</v>
      </c>
      <c r="G1054">
        <v>9.7853031568229198</v>
      </c>
      <c r="H1054" t="s">
        <v>682</v>
      </c>
      <c r="I1054" t="s">
        <v>35</v>
      </c>
      <c r="J1054">
        <v>0</v>
      </c>
      <c r="K1054">
        <v>61</v>
      </c>
      <c r="L1054" t="s">
        <v>583</v>
      </c>
      <c r="M1054">
        <v>2609</v>
      </c>
      <c r="N1054">
        <v>6.2175092287361622</v>
      </c>
      <c r="O1054">
        <v>9.7853031568229198</v>
      </c>
      <c r="P1054">
        <v>5.4199264403432608</v>
      </c>
      <c r="Q1054">
        <v>19.578173577785488</v>
      </c>
      <c r="R1054">
        <v>2</v>
      </c>
      <c r="S1054" t="s">
        <v>565</v>
      </c>
      <c r="T1054">
        <v>2024</v>
      </c>
      <c r="U1054" s="1">
        <v>45901.600802198707</v>
      </c>
      <c r="V1054" t="s">
        <v>32</v>
      </c>
      <c r="W1054" t="s">
        <v>182</v>
      </c>
      <c r="X1054">
        <v>1.226328894228776</v>
      </c>
      <c r="Y1054">
        <v>1.226328894228776</v>
      </c>
      <c r="Z1054">
        <v>2.2146968431770802</v>
      </c>
      <c r="AA1054">
        <v>2.1042545036412421</v>
      </c>
      <c r="AB1054">
        <v>0.33755357765966382</v>
      </c>
    </row>
    <row r="1055" spans="1:28" x14ac:dyDescent="0.25">
      <c r="A1055">
        <v>4</v>
      </c>
      <c r="B1055">
        <v>28</v>
      </c>
      <c r="C1055">
        <v>12</v>
      </c>
      <c r="D1055">
        <v>13057</v>
      </c>
      <c r="E1055">
        <v>18</v>
      </c>
      <c r="F1055">
        <v>12</v>
      </c>
      <c r="G1055">
        <v>8.409047394990921</v>
      </c>
      <c r="H1055" t="s">
        <v>683</v>
      </c>
      <c r="I1055" t="s">
        <v>29</v>
      </c>
      <c r="J1055">
        <v>0</v>
      </c>
      <c r="K1055">
        <v>44</v>
      </c>
      <c r="L1055" t="s">
        <v>570</v>
      </c>
      <c r="M1055">
        <v>1916</v>
      </c>
      <c r="N1055">
        <v>3.8490065084770322</v>
      </c>
      <c r="O1055">
        <v>8.409047394990921</v>
      </c>
      <c r="P1055">
        <v>3.6659772768616681</v>
      </c>
      <c r="Q1055">
        <v>12.50991302076727</v>
      </c>
      <c r="R1055">
        <v>4</v>
      </c>
      <c r="S1055" t="s">
        <v>565</v>
      </c>
      <c r="T1055">
        <v>2024</v>
      </c>
      <c r="U1055" s="1">
        <v>45901.600802198707</v>
      </c>
      <c r="V1055" t="s">
        <v>32</v>
      </c>
      <c r="W1055" t="s">
        <v>182</v>
      </c>
      <c r="X1055">
        <v>1.427034411430256</v>
      </c>
      <c r="Y1055">
        <v>1.427034411430256</v>
      </c>
      <c r="Z1055">
        <v>3.590952605009079</v>
      </c>
      <c r="AA1055">
        <v>2.0668058455114822</v>
      </c>
      <c r="AB1055">
        <v>0.39499700707159863</v>
      </c>
    </row>
    <row r="1056" spans="1:28" x14ac:dyDescent="0.25">
      <c r="A1056">
        <v>4</v>
      </c>
      <c r="B1056">
        <v>28</v>
      </c>
      <c r="C1056">
        <v>11</v>
      </c>
      <c r="D1056">
        <v>3746</v>
      </c>
      <c r="E1056">
        <v>27</v>
      </c>
      <c r="F1056">
        <v>7</v>
      </c>
      <c r="G1056">
        <v>9.4784621186554432</v>
      </c>
      <c r="H1056" t="s">
        <v>634</v>
      </c>
      <c r="I1056" t="s">
        <v>29</v>
      </c>
      <c r="J1056">
        <v>0</v>
      </c>
      <c r="K1056">
        <v>74</v>
      </c>
      <c r="L1056" t="s">
        <v>583</v>
      </c>
      <c r="M1056">
        <v>1845</v>
      </c>
      <c r="N1056">
        <v>5.1044594869017601</v>
      </c>
      <c r="O1056">
        <v>12.51884263381362</v>
      </c>
      <c r="P1056">
        <v>4.0626308061182499</v>
      </c>
      <c r="Q1056">
        <v>14.990459412336349</v>
      </c>
      <c r="R1056">
        <v>1</v>
      </c>
      <c r="S1056" t="s">
        <v>565</v>
      </c>
      <c r="T1056">
        <v>2024</v>
      </c>
      <c r="U1056" s="1">
        <v>45901.600802198707</v>
      </c>
      <c r="V1056" t="s">
        <v>32</v>
      </c>
      <c r="W1056" t="s">
        <v>182</v>
      </c>
      <c r="X1056">
        <v>0.8786754751824104</v>
      </c>
      <c r="Y1056">
        <v>0.73851642939234297</v>
      </c>
      <c r="Z1056">
        <v>-1.5188426338136201</v>
      </c>
      <c r="AA1056">
        <v>3.6097560975609762</v>
      </c>
      <c r="AB1056">
        <v>0.61067525042993265</v>
      </c>
    </row>
    <row r="1057" spans="1:28" x14ac:dyDescent="0.25">
      <c r="A1057">
        <v>6</v>
      </c>
      <c r="B1057">
        <v>34</v>
      </c>
      <c r="C1057">
        <v>11</v>
      </c>
      <c r="D1057">
        <v>8187</v>
      </c>
      <c r="E1057">
        <v>22</v>
      </c>
      <c r="F1057">
        <v>8</v>
      </c>
      <c r="G1057">
        <v>8.4206255078315735</v>
      </c>
      <c r="H1057" t="s">
        <v>675</v>
      </c>
      <c r="I1057" t="s">
        <v>35</v>
      </c>
      <c r="J1057">
        <v>0</v>
      </c>
      <c r="K1057">
        <v>56</v>
      </c>
      <c r="L1057" t="s">
        <v>564</v>
      </c>
      <c r="M1057">
        <v>1397</v>
      </c>
      <c r="N1057">
        <v>5.3205259302631021</v>
      </c>
      <c r="O1057">
        <v>11.461006090044981</v>
      </c>
      <c r="P1057">
        <v>4.8186211679130793</v>
      </c>
      <c r="Q1057">
        <v>16.573118494823579</v>
      </c>
      <c r="R1057">
        <v>2</v>
      </c>
      <c r="S1057" t="s">
        <v>565</v>
      </c>
      <c r="T1057">
        <v>2024</v>
      </c>
      <c r="U1057" s="1">
        <v>45901.600802198707</v>
      </c>
      <c r="V1057" t="s">
        <v>32</v>
      </c>
      <c r="W1057" t="s">
        <v>182</v>
      </c>
      <c r="X1057">
        <v>0.9597761238042265</v>
      </c>
      <c r="Y1057">
        <v>0.95004818734185814</v>
      </c>
      <c r="Z1057">
        <v>-0.46100609004497528</v>
      </c>
      <c r="AA1057">
        <v>3.6077308518253401</v>
      </c>
      <c r="AB1057">
        <v>0.73836116542881014</v>
      </c>
    </row>
    <row r="1058" spans="1:28" x14ac:dyDescent="0.25">
      <c r="A1058">
        <v>2</v>
      </c>
      <c r="B1058">
        <v>32</v>
      </c>
      <c r="C1058">
        <v>11</v>
      </c>
      <c r="D1058">
        <v>11755</v>
      </c>
      <c r="E1058">
        <v>24</v>
      </c>
      <c r="F1058">
        <v>11</v>
      </c>
      <c r="G1058">
        <v>9.2329454384744167</v>
      </c>
      <c r="H1058" t="s">
        <v>684</v>
      </c>
      <c r="I1058" t="s">
        <v>35</v>
      </c>
      <c r="J1058">
        <v>0</v>
      </c>
      <c r="K1058">
        <v>85</v>
      </c>
      <c r="L1058" t="s">
        <v>640</v>
      </c>
      <c r="M1058">
        <v>2702</v>
      </c>
      <c r="N1058">
        <v>3.226258029229939</v>
      </c>
      <c r="O1058">
        <v>9.2329454384744167</v>
      </c>
      <c r="P1058">
        <v>5.0826136916875839</v>
      </c>
      <c r="Q1058">
        <v>16.3747927621007</v>
      </c>
      <c r="R1058">
        <v>5</v>
      </c>
      <c r="S1058" t="s">
        <v>565</v>
      </c>
      <c r="T1058">
        <v>2024</v>
      </c>
      <c r="U1058" s="1">
        <v>45901.600802198707</v>
      </c>
      <c r="V1058" t="s">
        <v>32</v>
      </c>
      <c r="W1058" t="s">
        <v>182</v>
      </c>
      <c r="X1058">
        <v>1.1913857905151399</v>
      </c>
      <c r="Y1058">
        <v>1.1913857905151399</v>
      </c>
      <c r="Z1058">
        <v>1.767054561525583</v>
      </c>
      <c r="AA1058">
        <v>2.8312361213915622</v>
      </c>
      <c r="AB1058">
        <v>0.30753704273230847</v>
      </c>
    </row>
    <row r="1059" spans="1:28" x14ac:dyDescent="0.25">
      <c r="A1059">
        <v>11</v>
      </c>
      <c r="B1059">
        <v>34</v>
      </c>
      <c r="C1059">
        <v>10</v>
      </c>
      <c r="D1059">
        <v>3285</v>
      </c>
      <c r="E1059">
        <v>73</v>
      </c>
      <c r="F1059">
        <v>10</v>
      </c>
      <c r="G1059">
        <v>6.1770143061876297</v>
      </c>
      <c r="H1059" t="s">
        <v>685</v>
      </c>
      <c r="I1059" t="s">
        <v>35</v>
      </c>
      <c r="J1059">
        <v>0</v>
      </c>
      <c r="K1059">
        <v>59</v>
      </c>
      <c r="L1059" t="s">
        <v>686</v>
      </c>
      <c r="M1059">
        <v>2750</v>
      </c>
      <c r="N1059">
        <v>8.5169537141919136</v>
      </c>
      <c r="O1059">
        <v>6.1770143061876297</v>
      </c>
      <c r="P1059">
        <v>5.7077325880527496</v>
      </c>
      <c r="Q1059">
        <v>14.08252157270908</v>
      </c>
      <c r="R1059">
        <v>2</v>
      </c>
      <c r="S1059" t="s">
        <v>565</v>
      </c>
      <c r="T1059">
        <v>2024</v>
      </c>
      <c r="U1059" s="1">
        <v>45901.600802198707</v>
      </c>
      <c r="V1059" t="s">
        <v>32</v>
      </c>
      <c r="W1059" t="s">
        <v>182</v>
      </c>
      <c r="X1059">
        <v>1.6189051059802171</v>
      </c>
      <c r="Y1059">
        <v>1.6189051059802171</v>
      </c>
      <c r="Z1059">
        <v>3.8229856938123699</v>
      </c>
      <c r="AA1059">
        <v>1.9309090909090909</v>
      </c>
      <c r="AB1059">
        <v>0.2021568318388679</v>
      </c>
    </row>
    <row r="1060" spans="1:28" x14ac:dyDescent="0.25">
      <c r="A1060">
        <v>2</v>
      </c>
      <c r="B1060">
        <v>26</v>
      </c>
      <c r="C1060">
        <v>10</v>
      </c>
      <c r="D1060">
        <v>6986</v>
      </c>
      <c r="E1060">
        <v>27</v>
      </c>
      <c r="F1060">
        <v>10</v>
      </c>
      <c r="G1060">
        <v>7.6495527438819408</v>
      </c>
      <c r="H1060" t="s">
        <v>687</v>
      </c>
      <c r="I1060" t="s">
        <v>49</v>
      </c>
      <c r="J1060">
        <v>0</v>
      </c>
      <c r="K1060">
        <v>69</v>
      </c>
      <c r="L1060" t="s">
        <v>686</v>
      </c>
      <c r="M1060">
        <v>2154</v>
      </c>
      <c r="N1060">
        <v>2.912033742293715</v>
      </c>
      <c r="O1060">
        <v>7.6495527438819408</v>
      </c>
      <c r="P1060">
        <v>4.6782301757484666</v>
      </c>
      <c r="Q1060">
        <v>13.961122218519449</v>
      </c>
      <c r="R1060">
        <v>5</v>
      </c>
      <c r="S1060" t="s">
        <v>565</v>
      </c>
      <c r="T1060">
        <v>2024</v>
      </c>
      <c r="U1060" s="1">
        <v>45901.600802198707</v>
      </c>
      <c r="V1060" t="s">
        <v>32</v>
      </c>
      <c r="W1060" t="s">
        <v>182</v>
      </c>
      <c r="X1060">
        <v>1.3072659715952579</v>
      </c>
      <c r="Y1060">
        <v>1.3072659715952579</v>
      </c>
      <c r="Z1060">
        <v>2.3504472561180592</v>
      </c>
      <c r="AA1060">
        <v>2.883008356545961</v>
      </c>
      <c r="AB1060">
        <v>0.31961919542682199</v>
      </c>
    </row>
    <row r="1061" spans="1:28" x14ac:dyDescent="0.25">
      <c r="A1061">
        <v>3</v>
      </c>
      <c r="B1061">
        <v>22</v>
      </c>
      <c r="C1061">
        <v>10</v>
      </c>
      <c r="D1061">
        <v>11767</v>
      </c>
      <c r="E1061">
        <v>15</v>
      </c>
      <c r="F1061">
        <v>8</v>
      </c>
      <c r="G1061">
        <v>13.985758140683171</v>
      </c>
      <c r="H1061" t="s">
        <v>676</v>
      </c>
      <c r="I1061" t="s">
        <v>29</v>
      </c>
      <c r="J1061">
        <v>0</v>
      </c>
      <c r="K1061">
        <v>55</v>
      </c>
      <c r="L1061" t="s">
        <v>568</v>
      </c>
      <c r="M1061">
        <v>1047</v>
      </c>
      <c r="N1061">
        <v>3.3418074361979961</v>
      </c>
      <c r="O1061">
        <v>16.26604363322258</v>
      </c>
      <c r="P1061">
        <v>3.989367220550776</v>
      </c>
      <c r="Q1061">
        <v>18.393224000930779</v>
      </c>
      <c r="R1061">
        <v>1</v>
      </c>
      <c r="S1061" t="s">
        <v>565</v>
      </c>
      <c r="T1061">
        <v>2024</v>
      </c>
      <c r="U1061" s="1">
        <v>45901.600802198707</v>
      </c>
      <c r="V1061" t="s">
        <v>32</v>
      </c>
      <c r="W1061" t="s">
        <v>182</v>
      </c>
      <c r="X1061">
        <v>0.61477764510452315</v>
      </c>
      <c r="Y1061">
        <v>0.57201046375375242</v>
      </c>
      <c r="Z1061">
        <v>-6.26604363322258</v>
      </c>
      <c r="AA1061">
        <v>4.7277936962750724</v>
      </c>
      <c r="AB1061">
        <v>1.3982272464088179</v>
      </c>
    </row>
    <row r="1062" spans="1:28" x14ac:dyDescent="0.25">
      <c r="A1062">
        <v>7</v>
      </c>
      <c r="B1062">
        <v>28</v>
      </c>
      <c r="C1062">
        <v>15</v>
      </c>
      <c r="D1062">
        <v>3064</v>
      </c>
      <c r="E1062">
        <v>63</v>
      </c>
      <c r="F1062">
        <v>12</v>
      </c>
      <c r="G1062">
        <v>8.3786857146769762</v>
      </c>
      <c r="H1062" t="s">
        <v>688</v>
      </c>
      <c r="I1062" t="s">
        <v>35</v>
      </c>
      <c r="J1062">
        <v>0</v>
      </c>
      <c r="K1062">
        <v>109</v>
      </c>
      <c r="L1062" t="s">
        <v>689</v>
      </c>
      <c r="M1062">
        <v>2300</v>
      </c>
      <c r="N1062">
        <v>9.8959491290152073</v>
      </c>
      <c r="O1062">
        <v>11.39577670581639</v>
      </c>
      <c r="P1062">
        <v>4.4370780121535063</v>
      </c>
      <c r="Q1062">
        <v>15.33596167340875</v>
      </c>
      <c r="R1062">
        <v>8</v>
      </c>
      <c r="S1062" t="s">
        <v>690</v>
      </c>
      <c r="T1062">
        <v>2014</v>
      </c>
      <c r="U1062" s="1">
        <v>45901.600802198707</v>
      </c>
      <c r="V1062" t="s">
        <v>32</v>
      </c>
      <c r="W1062" t="s">
        <v>33</v>
      </c>
      <c r="X1062">
        <v>1.3162771074957991</v>
      </c>
      <c r="Y1062">
        <v>1.432205528246459</v>
      </c>
      <c r="Z1062">
        <v>3.6042232941836119</v>
      </c>
      <c r="AA1062">
        <v>4.2652173913043478</v>
      </c>
      <c r="AB1062">
        <v>0.44592169718411961</v>
      </c>
    </row>
    <row r="1063" spans="1:28" x14ac:dyDescent="0.25">
      <c r="A1063">
        <v>2</v>
      </c>
      <c r="B1063">
        <v>26</v>
      </c>
      <c r="C1063">
        <v>13</v>
      </c>
      <c r="D1063">
        <v>813</v>
      </c>
      <c r="E1063">
        <v>17</v>
      </c>
      <c r="F1063">
        <v>13</v>
      </c>
      <c r="G1063">
        <v>10.609935137443239</v>
      </c>
      <c r="H1063" t="s">
        <v>116</v>
      </c>
      <c r="I1063" t="s">
        <v>29</v>
      </c>
      <c r="J1063">
        <v>0</v>
      </c>
      <c r="K1063">
        <v>58</v>
      </c>
      <c r="L1063" t="s">
        <v>689</v>
      </c>
      <c r="M1063">
        <v>1523</v>
      </c>
      <c r="N1063">
        <v>2.202637393027544</v>
      </c>
      <c r="O1063">
        <v>10.609935137443239</v>
      </c>
      <c r="P1063">
        <v>2.546386999078095</v>
      </c>
      <c r="Q1063">
        <v>13.839645177125931</v>
      </c>
      <c r="R1063">
        <v>5</v>
      </c>
      <c r="S1063" t="s">
        <v>690</v>
      </c>
      <c r="T1063">
        <v>2014</v>
      </c>
      <c r="U1063" s="1">
        <v>45901.600802198707</v>
      </c>
      <c r="V1063" t="s">
        <v>32</v>
      </c>
      <c r="W1063" t="s">
        <v>33</v>
      </c>
      <c r="X1063">
        <v>1.225266679917961</v>
      </c>
      <c r="Y1063">
        <v>1.225266679917961</v>
      </c>
      <c r="Z1063">
        <v>2.390064862556756</v>
      </c>
      <c r="AA1063">
        <v>3.4274458305975051</v>
      </c>
      <c r="AB1063">
        <v>0.6269823784437899</v>
      </c>
    </row>
    <row r="1064" spans="1:28" x14ac:dyDescent="0.25">
      <c r="A1064">
        <v>3</v>
      </c>
      <c r="B1064">
        <v>28</v>
      </c>
      <c r="C1064">
        <v>13</v>
      </c>
      <c r="D1064">
        <v>2815</v>
      </c>
      <c r="E1064">
        <v>39</v>
      </c>
      <c r="F1064">
        <v>13</v>
      </c>
      <c r="G1064">
        <v>8.842512222006917</v>
      </c>
      <c r="H1064" t="s">
        <v>691</v>
      </c>
      <c r="I1064" t="s">
        <v>35</v>
      </c>
      <c r="J1064">
        <v>0</v>
      </c>
      <c r="K1064">
        <v>67</v>
      </c>
      <c r="L1064" t="s">
        <v>692</v>
      </c>
      <c r="M1064">
        <v>2378</v>
      </c>
      <c r="N1064">
        <v>4.3778636604547501</v>
      </c>
      <c r="O1064">
        <v>8.842512222006917</v>
      </c>
      <c r="P1064">
        <v>4.6462394613772631</v>
      </c>
      <c r="Q1064">
        <v>15.84524983726442</v>
      </c>
      <c r="R1064">
        <v>3</v>
      </c>
      <c r="S1064" t="s">
        <v>690</v>
      </c>
      <c r="T1064">
        <v>2014</v>
      </c>
      <c r="U1064" s="1">
        <v>45901.600802198707</v>
      </c>
      <c r="V1064" t="s">
        <v>32</v>
      </c>
      <c r="W1064" t="s">
        <v>33</v>
      </c>
      <c r="X1064">
        <v>1.470170430485364</v>
      </c>
      <c r="Y1064">
        <v>1.470170430485364</v>
      </c>
      <c r="Z1064">
        <v>4.157487777993083</v>
      </c>
      <c r="AA1064">
        <v>2.535744322960471</v>
      </c>
      <c r="AB1064">
        <v>0.33466194280093459</v>
      </c>
    </row>
    <row r="1065" spans="1:28" x14ac:dyDescent="0.25">
      <c r="A1065">
        <v>4</v>
      </c>
      <c r="B1065">
        <v>24</v>
      </c>
      <c r="C1065">
        <v>10</v>
      </c>
      <c r="D1065">
        <v>255</v>
      </c>
      <c r="E1065">
        <v>20</v>
      </c>
      <c r="F1065">
        <v>7</v>
      </c>
      <c r="G1065">
        <v>5.1366697438061237</v>
      </c>
      <c r="H1065" t="s">
        <v>693</v>
      </c>
      <c r="I1065" t="s">
        <v>29</v>
      </c>
      <c r="J1065">
        <v>0</v>
      </c>
      <c r="K1065">
        <v>45</v>
      </c>
      <c r="L1065" t="s">
        <v>694</v>
      </c>
      <c r="M1065">
        <v>1573</v>
      </c>
      <c r="N1065">
        <v>2.6432702951133251</v>
      </c>
      <c r="O1065">
        <v>7.3994947113096714</v>
      </c>
      <c r="P1065">
        <v>2.6561329383403058</v>
      </c>
      <c r="Q1065">
        <v>7.4984733778983346</v>
      </c>
      <c r="R1065">
        <v>2</v>
      </c>
      <c r="S1065" t="s">
        <v>690</v>
      </c>
      <c r="T1065">
        <v>2014</v>
      </c>
      <c r="U1065" s="1">
        <v>45901.600802198707</v>
      </c>
      <c r="V1065" t="s">
        <v>32</v>
      </c>
      <c r="W1065" t="s">
        <v>33</v>
      </c>
      <c r="X1065">
        <v>1.3514436309705871</v>
      </c>
      <c r="Y1065">
        <v>1.362750643729959</v>
      </c>
      <c r="Z1065">
        <v>2.600505288690329</v>
      </c>
      <c r="AA1065">
        <v>2.5746980292434838</v>
      </c>
      <c r="AB1065">
        <v>0.42336587668014652</v>
      </c>
    </row>
    <row r="1066" spans="1:28" x14ac:dyDescent="0.25">
      <c r="A1066">
        <v>7</v>
      </c>
      <c r="B1066">
        <v>30</v>
      </c>
      <c r="C1066">
        <v>10</v>
      </c>
      <c r="D1066">
        <v>1681</v>
      </c>
      <c r="E1066">
        <v>30</v>
      </c>
      <c r="F1066">
        <v>10</v>
      </c>
      <c r="G1066">
        <v>9.764397943392396</v>
      </c>
      <c r="H1066" t="s">
        <v>695</v>
      </c>
      <c r="I1066" t="s">
        <v>35</v>
      </c>
      <c r="J1066">
        <v>0</v>
      </c>
      <c r="K1066">
        <v>60</v>
      </c>
      <c r="L1066" t="s">
        <v>696</v>
      </c>
      <c r="M1066">
        <v>2443</v>
      </c>
      <c r="N1066">
        <v>4.7883762642741203</v>
      </c>
      <c r="O1066">
        <v>9.764397943392396</v>
      </c>
      <c r="P1066">
        <v>3.0697181215509768</v>
      </c>
      <c r="Q1066">
        <v>16.518309395760301</v>
      </c>
      <c r="R1066">
        <v>0</v>
      </c>
      <c r="S1066" t="s">
        <v>690</v>
      </c>
      <c r="T1066">
        <v>2014</v>
      </c>
      <c r="U1066" s="1">
        <v>45901.600802198707</v>
      </c>
      <c r="V1066" t="s">
        <v>32</v>
      </c>
      <c r="W1066" t="s">
        <v>33</v>
      </c>
      <c r="X1066">
        <v>1.0241286823799549</v>
      </c>
      <c r="Y1066">
        <v>1.0241286823799549</v>
      </c>
      <c r="Z1066">
        <v>0.235602056607604</v>
      </c>
      <c r="AA1066">
        <v>2.2103970528039301</v>
      </c>
      <c r="AB1066">
        <v>0.3597199406079884</v>
      </c>
    </row>
    <row r="1067" spans="1:28" x14ac:dyDescent="0.25">
      <c r="A1067">
        <v>2</v>
      </c>
      <c r="B1067">
        <v>26</v>
      </c>
      <c r="C1067">
        <v>10</v>
      </c>
      <c r="D1067">
        <v>2970</v>
      </c>
      <c r="E1067">
        <v>21</v>
      </c>
      <c r="F1067">
        <v>10</v>
      </c>
      <c r="G1067">
        <v>10.558253644965591</v>
      </c>
      <c r="H1067" t="s">
        <v>697</v>
      </c>
      <c r="I1067" t="s">
        <v>35</v>
      </c>
      <c r="J1067">
        <v>0</v>
      </c>
      <c r="K1067">
        <v>71</v>
      </c>
      <c r="L1067" t="s">
        <v>698</v>
      </c>
      <c r="M1067">
        <v>2038</v>
      </c>
      <c r="N1067">
        <v>1.7718393765389919</v>
      </c>
      <c r="O1067">
        <v>11.312530576251451</v>
      </c>
      <c r="P1067">
        <v>2.6072558853775258</v>
      </c>
      <c r="Q1067">
        <v>13.11281901877374</v>
      </c>
      <c r="R1067">
        <v>2</v>
      </c>
      <c r="S1067" t="s">
        <v>690</v>
      </c>
      <c r="T1067">
        <v>2014</v>
      </c>
      <c r="U1067" s="1">
        <v>45901.600802198707</v>
      </c>
      <c r="V1067" t="s">
        <v>32</v>
      </c>
      <c r="W1067" t="s">
        <v>33</v>
      </c>
      <c r="X1067">
        <v>0.88397551127889451</v>
      </c>
      <c r="Y1067">
        <v>0.94712632754075055</v>
      </c>
      <c r="Z1067">
        <v>-1.312530576251447</v>
      </c>
      <c r="AA1067">
        <v>3.135426889106967</v>
      </c>
      <c r="AB1067">
        <v>0.49957200778343003</v>
      </c>
    </row>
    <row r="1068" spans="1:28" x14ac:dyDescent="0.25">
      <c r="A1068">
        <v>7</v>
      </c>
      <c r="B1068">
        <v>29</v>
      </c>
      <c r="C1068">
        <v>20</v>
      </c>
      <c r="D1068">
        <v>2925</v>
      </c>
      <c r="E1068">
        <v>40</v>
      </c>
      <c r="F1068">
        <v>20</v>
      </c>
      <c r="G1068">
        <v>12.904743311926721</v>
      </c>
      <c r="H1068" t="s">
        <v>699</v>
      </c>
      <c r="I1068" t="s">
        <v>49</v>
      </c>
      <c r="J1068">
        <v>0</v>
      </c>
      <c r="K1068">
        <v>114</v>
      </c>
      <c r="L1068" t="s">
        <v>700</v>
      </c>
      <c r="M1068">
        <v>2547</v>
      </c>
      <c r="N1068">
        <v>3.6851003523916011</v>
      </c>
      <c r="O1068">
        <v>12.904743311926721</v>
      </c>
      <c r="P1068">
        <v>3.4405196085572238</v>
      </c>
      <c r="Q1068">
        <v>18.03826484084129</v>
      </c>
      <c r="R1068">
        <v>3</v>
      </c>
      <c r="S1068" t="s">
        <v>690</v>
      </c>
      <c r="T1068">
        <v>2015</v>
      </c>
      <c r="U1068" s="1">
        <v>45901.600802198707</v>
      </c>
      <c r="V1068" t="s">
        <v>32</v>
      </c>
      <c r="W1068" t="s">
        <v>69</v>
      </c>
      <c r="X1068">
        <v>1.549817731090843</v>
      </c>
      <c r="Y1068">
        <v>1.549817731090843</v>
      </c>
      <c r="Z1068">
        <v>7.0952566880732757</v>
      </c>
      <c r="AA1068">
        <v>4.0282685512367493</v>
      </c>
      <c r="AB1068">
        <v>0.45599799688787013</v>
      </c>
    </row>
    <row r="1069" spans="1:28" x14ac:dyDescent="0.25">
      <c r="A1069">
        <v>4</v>
      </c>
      <c r="B1069">
        <v>30</v>
      </c>
      <c r="C1069">
        <v>18</v>
      </c>
      <c r="D1069">
        <v>2815</v>
      </c>
      <c r="E1069">
        <v>59</v>
      </c>
      <c r="F1069">
        <v>16</v>
      </c>
      <c r="G1069">
        <v>13.15511200577021</v>
      </c>
      <c r="H1069" t="s">
        <v>691</v>
      </c>
      <c r="I1069" t="s">
        <v>35</v>
      </c>
      <c r="J1069">
        <v>0</v>
      </c>
      <c r="K1069">
        <v>104</v>
      </c>
      <c r="L1069" t="s">
        <v>692</v>
      </c>
      <c r="M1069">
        <v>2649</v>
      </c>
      <c r="N1069">
        <v>4.6643237555399537</v>
      </c>
      <c r="O1069">
        <v>14.663662038743499</v>
      </c>
      <c r="P1069">
        <v>7.9292233847081661</v>
      </c>
      <c r="Q1069">
        <v>21.335523173213009</v>
      </c>
      <c r="R1069">
        <v>3</v>
      </c>
      <c r="S1069" t="s">
        <v>690</v>
      </c>
      <c r="T1069">
        <v>2015</v>
      </c>
      <c r="U1069" s="1">
        <v>45901.600802198707</v>
      </c>
      <c r="V1069" t="s">
        <v>32</v>
      </c>
      <c r="W1069" t="s">
        <v>69</v>
      </c>
      <c r="X1069">
        <v>1.2275241991012491</v>
      </c>
      <c r="Y1069">
        <v>1.2162572232742641</v>
      </c>
      <c r="Z1069">
        <v>3.3363379612565041</v>
      </c>
      <c r="AA1069">
        <v>3.5334088335220839</v>
      </c>
      <c r="AB1069">
        <v>0.49819916326421843</v>
      </c>
    </row>
    <row r="1070" spans="1:28" x14ac:dyDescent="0.25">
      <c r="A1070">
        <v>16</v>
      </c>
      <c r="B1070">
        <v>27</v>
      </c>
      <c r="C1070">
        <v>17</v>
      </c>
      <c r="D1070">
        <v>3064</v>
      </c>
      <c r="E1070">
        <v>69</v>
      </c>
      <c r="F1070">
        <v>10</v>
      </c>
      <c r="G1070">
        <v>7.7890119664371014</v>
      </c>
      <c r="H1070" t="s">
        <v>688</v>
      </c>
      <c r="I1070" t="s">
        <v>35</v>
      </c>
      <c r="J1070">
        <v>0</v>
      </c>
      <c r="K1070">
        <v>125</v>
      </c>
      <c r="L1070" t="s">
        <v>689</v>
      </c>
      <c r="M1070">
        <v>2344</v>
      </c>
      <c r="N1070">
        <v>12.99569290876388</v>
      </c>
      <c r="O1070">
        <v>14.57748185656965</v>
      </c>
      <c r="P1070">
        <v>7.9755677655339241</v>
      </c>
      <c r="Q1070">
        <v>21.328279264271259</v>
      </c>
      <c r="R1070">
        <v>8</v>
      </c>
      <c r="S1070" t="s">
        <v>690</v>
      </c>
      <c r="T1070">
        <v>2015</v>
      </c>
      <c r="U1070" s="1">
        <v>45901.600802198707</v>
      </c>
      <c r="V1070" t="s">
        <v>32</v>
      </c>
      <c r="W1070" t="s">
        <v>69</v>
      </c>
      <c r="X1070">
        <v>1.166182209469778</v>
      </c>
      <c r="Y1070">
        <v>1.2838598840379321</v>
      </c>
      <c r="Z1070">
        <v>2.4225181434303522</v>
      </c>
      <c r="AA1070">
        <v>4.7994880546075089</v>
      </c>
      <c r="AB1070">
        <v>0.55971560029490963</v>
      </c>
    </row>
    <row r="1071" spans="1:28" x14ac:dyDescent="0.25">
      <c r="A1071">
        <v>5</v>
      </c>
      <c r="B1071">
        <v>30</v>
      </c>
      <c r="C1071">
        <v>15</v>
      </c>
      <c r="D1071">
        <v>3063</v>
      </c>
      <c r="E1071">
        <v>47</v>
      </c>
      <c r="F1071">
        <v>15</v>
      </c>
      <c r="G1071">
        <v>11.49025809019804</v>
      </c>
      <c r="H1071" t="s">
        <v>701</v>
      </c>
      <c r="I1071" t="s">
        <v>32</v>
      </c>
      <c r="J1071">
        <v>0</v>
      </c>
      <c r="K1071">
        <v>55</v>
      </c>
      <c r="L1071" t="s">
        <v>689</v>
      </c>
      <c r="M1071">
        <v>2585</v>
      </c>
      <c r="N1071">
        <v>5.6580325160175562</v>
      </c>
      <c r="O1071">
        <v>11.49025809019804</v>
      </c>
      <c r="P1071">
        <v>4.0365730859339237</v>
      </c>
      <c r="Q1071">
        <v>18.577167358249419</v>
      </c>
      <c r="R1071">
        <v>2</v>
      </c>
      <c r="S1071" t="s">
        <v>690</v>
      </c>
      <c r="T1071">
        <v>2015</v>
      </c>
      <c r="U1071" s="1">
        <v>45901.600802198707</v>
      </c>
      <c r="V1071" t="s">
        <v>32</v>
      </c>
      <c r="W1071" t="s">
        <v>69</v>
      </c>
      <c r="X1071">
        <v>1.305453705412936</v>
      </c>
      <c r="Y1071">
        <v>1.305453705412936</v>
      </c>
      <c r="Z1071">
        <v>3.50974190980196</v>
      </c>
      <c r="AA1071">
        <v>1.914893617021276</v>
      </c>
      <c r="AB1071">
        <v>0.40004767045176931</v>
      </c>
    </row>
    <row r="1072" spans="1:28" x14ac:dyDescent="0.25">
      <c r="A1072">
        <v>5</v>
      </c>
      <c r="B1072">
        <v>30</v>
      </c>
      <c r="C1072">
        <v>13</v>
      </c>
      <c r="D1072">
        <v>1681</v>
      </c>
      <c r="E1072">
        <v>40</v>
      </c>
      <c r="F1072">
        <v>13</v>
      </c>
      <c r="G1072">
        <v>13.94587072730064</v>
      </c>
      <c r="H1072" t="s">
        <v>695</v>
      </c>
      <c r="I1072" t="s">
        <v>49</v>
      </c>
      <c r="J1072">
        <v>0</v>
      </c>
      <c r="K1072">
        <v>77</v>
      </c>
      <c r="L1072" t="s">
        <v>696</v>
      </c>
      <c r="M1072">
        <v>2691</v>
      </c>
      <c r="N1072">
        <v>5.760069640353322</v>
      </c>
      <c r="O1072">
        <v>13.94587072730064</v>
      </c>
      <c r="P1072">
        <v>7.8872188124805689</v>
      </c>
      <c r="Q1072">
        <v>22.492641448974609</v>
      </c>
      <c r="R1072">
        <v>2</v>
      </c>
      <c r="S1072" t="s">
        <v>690</v>
      </c>
      <c r="T1072">
        <v>2015</v>
      </c>
      <c r="U1072" s="1">
        <v>45901.600802198707</v>
      </c>
      <c r="V1072" t="s">
        <v>32</v>
      </c>
      <c r="W1072" t="s">
        <v>69</v>
      </c>
      <c r="X1072">
        <v>0.93217557040386201</v>
      </c>
      <c r="Y1072">
        <v>0.93217557040386201</v>
      </c>
      <c r="Z1072">
        <v>-0.94587072730064392</v>
      </c>
      <c r="AA1072">
        <v>2.575250836120401</v>
      </c>
      <c r="AB1072">
        <v>0.46641708118062358</v>
      </c>
    </row>
    <row r="1073" spans="1:28" x14ac:dyDescent="0.25">
      <c r="A1073">
        <v>3</v>
      </c>
      <c r="B1073">
        <v>27</v>
      </c>
      <c r="C1073">
        <v>10</v>
      </c>
      <c r="D1073">
        <v>2819</v>
      </c>
      <c r="E1073">
        <v>16</v>
      </c>
      <c r="F1073">
        <v>10</v>
      </c>
      <c r="G1073">
        <v>8.6213770844042301</v>
      </c>
      <c r="H1073" t="s">
        <v>702</v>
      </c>
      <c r="I1073" t="s">
        <v>35</v>
      </c>
      <c r="J1073">
        <v>0</v>
      </c>
      <c r="K1073">
        <v>54</v>
      </c>
      <c r="L1073" t="s">
        <v>703</v>
      </c>
      <c r="M1073">
        <v>1707</v>
      </c>
      <c r="N1073">
        <v>1.36227676551789</v>
      </c>
      <c r="O1073">
        <v>9.3756551183760166</v>
      </c>
      <c r="P1073">
        <v>1.231532886624336</v>
      </c>
      <c r="Q1073">
        <v>9.4190148189663887</v>
      </c>
      <c r="R1073">
        <v>3</v>
      </c>
      <c r="S1073" t="s">
        <v>690</v>
      </c>
      <c r="T1073">
        <v>2015</v>
      </c>
      <c r="U1073" s="1">
        <v>45901.600802198707</v>
      </c>
      <c r="V1073" t="s">
        <v>32</v>
      </c>
      <c r="W1073" t="s">
        <v>69</v>
      </c>
      <c r="X1073">
        <v>1.0665921339619551</v>
      </c>
      <c r="Y1073">
        <v>1.1599075068981319</v>
      </c>
      <c r="Z1073">
        <v>0.62434488162398338</v>
      </c>
      <c r="AA1073">
        <v>2.8471001757469239</v>
      </c>
      <c r="AB1073">
        <v>0.49432276546797982</v>
      </c>
    </row>
    <row r="1074" spans="1:28" x14ac:dyDescent="0.25">
      <c r="A1074">
        <v>13</v>
      </c>
      <c r="B1074">
        <v>29</v>
      </c>
      <c r="C1074">
        <v>10</v>
      </c>
      <c r="D1074">
        <v>2924</v>
      </c>
      <c r="E1074">
        <v>54</v>
      </c>
      <c r="F1074">
        <v>7</v>
      </c>
      <c r="G1074">
        <v>5.1095852311700583</v>
      </c>
      <c r="H1074" t="s">
        <v>704</v>
      </c>
      <c r="I1074" t="s">
        <v>35</v>
      </c>
      <c r="J1074">
        <v>0</v>
      </c>
      <c r="K1074">
        <v>60</v>
      </c>
      <c r="L1074" t="s">
        <v>700</v>
      </c>
      <c r="M1074">
        <v>2465</v>
      </c>
      <c r="N1074">
        <v>5.7755508758127689</v>
      </c>
      <c r="O1074">
        <v>7.3724122550338507</v>
      </c>
      <c r="P1074">
        <v>6.1329356366768479</v>
      </c>
      <c r="Q1074">
        <v>14.626001290976999</v>
      </c>
      <c r="R1074">
        <v>3</v>
      </c>
      <c r="S1074" t="s">
        <v>690</v>
      </c>
      <c r="T1074">
        <v>2015</v>
      </c>
      <c r="U1074" s="1">
        <v>45901.600802198707</v>
      </c>
      <c r="V1074" t="s">
        <v>32</v>
      </c>
      <c r="W1074" t="s">
        <v>69</v>
      </c>
      <c r="X1074">
        <v>1.356408140791644</v>
      </c>
      <c r="Y1074">
        <v>1.369974211859277</v>
      </c>
      <c r="Z1074">
        <v>2.6275877449661489</v>
      </c>
      <c r="AA1074">
        <v>2.190669371196754</v>
      </c>
      <c r="AB1074">
        <v>0.26917529531563761</v>
      </c>
    </row>
    <row r="1075" spans="1:28" x14ac:dyDescent="0.25">
      <c r="A1075">
        <v>5</v>
      </c>
      <c r="B1075">
        <v>27</v>
      </c>
      <c r="C1075">
        <v>10</v>
      </c>
      <c r="D1075">
        <v>3035</v>
      </c>
      <c r="E1075">
        <v>19</v>
      </c>
      <c r="F1075">
        <v>10</v>
      </c>
      <c r="G1075">
        <v>4.8451601136475801</v>
      </c>
      <c r="H1075" t="s">
        <v>705</v>
      </c>
      <c r="I1075" t="s">
        <v>35</v>
      </c>
      <c r="J1075">
        <v>0</v>
      </c>
      <c r="K1075">
        <v>55</v>
      </c>
      <c r="L1075" t="s">
        <v>706</v>
      </c>
      <c r="M1075">
        <v>1955</v>
      </c>
      <c r="N1075">
        <v>3.66733452770859</v>
      </c>
      <c r="O1075">
        <v>4.8451601136475801</v>
      </c>
      <c r="P1075">
        <v>5.7257863702252507</v>
      </c>
      <c r="Q1075">
        <v>11.24593739956617</v>
      </c>
      <c r="R1075">
        <v>2</v>
      </c>
      <c r="S1075" t="s">
        <v>690</v>
      </c>
      <c r="T1075">
        <v>2015</v>
      </c>
      <c r="U1075" s="1">
        <v>45901.600802198707</v>
      </c>
      <c r="V1075" t="s">
        <v>32</v>
      </c>
      <c r="W1075" t="s">
        <v>69</v>
      </c>
      <c r="X1075">
        <v>2.0639152815265178</v>
      </c>
      <c r="Y1075">
        <v>2.0639152815265178</v>
      </c>
      <c r="Z1075">
        <v>5.1548398863524199</v>
      </c>
      <c r="AA1075">
        <v>2.531969309462915</v>
      </c>
      <c r="AB1075">
        <v>0.22305084922162771</v>
      </c>
    </row>
    <row r="1076" spans="1:28" x14ac:dyDescent="0.25">
      <c r="A1076">
        <v>0</v>
      </c>
      <c r="B1076">
        <v>22</v>
      </c>
      <c r="C1076">
        <v>18</v>
      </c>
      <c r="D1076">
        <v>2925</v>
      </c>
      <c r="E1076">
        <v>25</v>
      </c>
      <c r="F1076">
        <v>14</v>
      </c>
      <c r="G1076">
        <v>7.1245751604437828</v>
      </c>
      <c r="H1076" t="s">
        <v>699</v>
      </c>
      <c r="I1076" t="s">
        <v>29</v>
      </c>
      <c r="J1076">
        <v>0</v>
      </c>
      <c r="K1076">
        <v>102</v>
      </c>
      <c r="L1076" t="s">
        <v>700</v>
      </c>
      <c r="M1076">
        <v>1934</v>
      </c>
      <c r="N1076">
        <v>1.378055586479604</v>
      </c>
      <c r="O1076">
        <v>10.14167210459709</v>
      </c>
      <c r="P1076">
        <v>1.588871700689197</v>
      </c>
      <c r="Q1076">
        <v>8.1748474650084972</v>
      </c>
      <c r="R1076">
        <v>4</v>
      </c>
      <c r="S1076" t="s">
        <v>690</v>
      </c>
      <c r="T1076">
        <v>2016</v>
      </c>
      <c r="U1076" s="1">
        <v>45901.600802198707</v>
      </c>
      <c r="V1076" t="s">
        <v>32</v>
      </c>
      <c r="W1076" t="s">
        <v>84</v>
      </c>
      <c r="X1076">
        <v>1.774855252107868</v>
      </c>
      <c r="Y1076">
        <v>1.965029448735292</v>
      </c>
      <c r="Z1076">
        <v>7.8583278954029083</v>
      </c>
      <c r="AA1076">
        <v>4.7466390899689763</v>
      </c>
      <c r="AB1076">
        <v>0.47194958087576949</v>
      </c>
    </row>
    <row r="1077" spans="1:28" x14ac:dyDescent="0.25">
      <c r="A1077">
        <v>4</v>
      </c>
      <c r="B1077">
        <v>26</v>
      </c>
      <c r="C1077">
        <v>13</v>
      </c>
      <c r="D1077">
        <v>3063</v>
      </c>
      <c r="E1077">
        <v>30</v>
      </c>
      <c r="F1077">
        <v>12</v>
      </c>
      <c r="G1077">
        <v>10.08498329482973</v>
      </c>
      <c r="H1077" t="s">
        <v>701</v>
      </c>
      <c r="I1077" t="s">
        <v>29</v>
      </c>
      <c r="J1077">
        <v>0</v>
      </c>
      <c r="K1077">
        <v>54</v>
      </c>
      <c r="L1077" t="s">
        <v>689</v>
      </c>
      <c r="M1077">
        <v>2195</v>
      </c>
      <c r="N1077">
        <v>3.8547611767426129</v>
      </c>
      <c r="O1077">
        <v>10.839255338534709</v>
      </c>
      <c r="P1077">
        <v>5.3235536497086287</v>
      </c>
      <c r="Q1077">
        <v>15.59920866787434</v>
      </c>
      <c r="R1077">
        <v>5</v>
      </c>
      <c r="S1077" t="s">
        <v>690</v>
      </c>
      <c r="T1077">
        <v>2016</v>
      </c>
      <c r="U1077" s="1">
        <v>45901.600802198707</v>
      </c>
      <c r="V1077" t="s">
        <v>32</v>
      </c>
      <c r="W1077" t="s">
        <v>84</v>
      </c>
      <c r="X1077">
        <v>1.1993443824303689</v>
      </c>
      <c r="Y1077">
        <v>1.189887940236058</v>
      </c>
      <c r="Z1077">
        <v>2.1607446614652872</v>
      </c>
      <c r="AA1077">
        <v>2.214123006833713</v>
      </c>
      <c r="AB1077">
        <v>0.44443415966657129</v>
      </c>
    </row>
    <row r="1078" spans="1:28" x14ac:dyDescent="0.25">
      <c r="A1078">
        <v>9</v>
      </c>
      <c r="B1078">
        <v>26</v>
      </c>
      <c r="C1078">
        <v>12</v>
      </c>
      <c r="D1078">
        <v>2815</v>
      </c>
      <c r="E1078">
        <v>67</v>
      </c>
      <c r="F1078">
        <v>10</v>
      </c>
      <c r="G1078">
        <v>8.1250820308923721</v>
      </c>
      <c r="H1078" t="s">
        <v>691</v>
      </c>
      <c r="I1078" t="s">
        <v>35</v>
      </c>
      <c r="J1078">
        <v>1</v>
      </c>
      <c r="K1078">
        <v>82</v>
      </c>
      <c r="L1078" t="s">
        <v>692</v>
      </c>
      <c r="M1078">
        <v>2259</v>
      </c>
      <c r="N1078">
        <v>5.9677199590951204</v>
      </c>
      <c r="O1078">
        <v>9.6336350440979004</v>
      </c>
      <c r="P1078">
        <v>6.0502501782029867</v>
      </c>
      <c r="Q1078">
        <v>15.639117585495111</v>
      </c>
      <c r="R1078">
        <v>3</v>
      </c>
      <c r="S1078" t="s">
        <v>690</v>
      </c>
      <c r="T1078">
        <v>2016</v>
      </c>
      <c r="U1078" s="1">
        <v>45901.600802198707</v>
      </c>
      <c r="V1078" t="s">
        <v>32</v>
      </c>
      <c r="W1078" t="s">
        <v>84</v>
      </c>
      <c r="X1078">
        <v>1.2456357278503991</v>
      </c>
      <c r="Y1078">
        <v>1.2307568049133539</v>
      </c>
      <c r="Z1078">
        <v>2.3663649559021001</v>
      </c>
      <c r="AA1078">
        <v>3.2669322709163349</v>
      </c>
      <c r="AB1078">
        <v>0.38381016111943822</v>
      </c>
    </row>
    <row r="1079" spans="1:28" x14ac:dyDescent="0.25">
      <c r="A1079">
        <v>4</v>
      </c>
      <c r="B1079">
        <v>20</v>
      </c>
      <c r="C1079">
        <v>10</v>
      </c>
      <c r="D1079">
        <v>2930</v>
      </c>
      <c r="E1079">
        <v>34</v>
      </c>
      <c r="F1079">
        <v>10</v>
      </c>
      <c r="G1079">
        <v>6.3197903316468</v>
      </c>
      <c r="H1079" t="s">
        <v>707</v>
      </c>
      <c r="I1079" t="s">
        <v>32</v>
      </c>
      <c r="J1079">
        <v>0</v>
      </c>
      <c r="K1079">
        <v>50</v>
      </c>
      <c r="L1079" t="s">
        <v>708</v>
      </c>
      <c r="M1079">
        <v>1623</v>
      </c>
      <c r="N1079">
        <v>2.718303688801825</v>
      </c>
      <c r="O1079">
        <v>6.3197903316468</v>
      </c>
      <c r="P1079">
        <v>1.878970828838646</v>
      </c>
      <c r="Q1079">
        <v>9.0196761041879636</v>
      </c>
      <c r="R1079">
        <v>4</v>
      </c>
      <c r="S1079" t="s">
        <v>690</v>
      </c>
      <c r="T1079">
        <v>2016</v>
      </c>
      <c r="U1079" s="1">
        <v>45901.600802198707</v>
      </c>
      <c r="V1079" t="s">
        <v>32</v>
      </c>
      <c r="W1079" t="s">
        <v>84</v>
      </c>
      <c r="X1079">
        <v>1.5823309754319359</v>
      </c>
      <c r="Y1079">
        <v>1.5823309754319359</v>
      </c>
      <c r="Z1079">
        <v>3.6802096683532</v>
      </c>
      <c r="AA1079">
        <v>2.77264325323475</v>
      </c>
      <c r="AB1079">
        <v>0.35045048049797412</v>
      </c>
    </row>
    <row r="1080" spans="1:28" x14ac:dyDescent="0.25">
      <c r="A1080">
        <v>7</v>
      </c>
      <c r="B1080">
        <v>26</v>
      </c>
      <c r="C1080">
        <v>15</v>
      </c>
      <c r="D1080">
        <v>2815</v>
      </c>
      <c r="E1080">
        <v>79</v>
      </c>
      <c r="F1080">
        <v>12</v>
      </c>
      <c r="G1080">
        <v>8.6513958899304271</v>
      </c>
      <c r="H1080" t="s">
        <v>691</v>
      </c>
      <c r="I1080" t="s">
        <v>35</v>
      </c>
      <c r="J1080">
        <v>0</v>
      </c>
      <c r="K1080">
        <v>104</v>
      </c>
      <c r="L1080" t="s">
        <v>692</v>
      </c>
      <c r="M1080">
        <v>2273</v>
      </c>
      <c r="N1080">
        <v>9.039612390100956</v>
      </c>
      <c r="O1080">
        <v>11.668497893027959</v>
      </c>
      <c r="P1080">
        <v>6.1925232969224453</v>
      </c>
      <c r="Q1080">
        <v>21.640764690935612</v>
      </c>
      <c r="R1080">
        <v>4</v>
      </c>
      <c r="S1080" t="s">
        <v>690</v>
      </c>
      <c r="T1080">
        <v>2017</v>
      </c>
      <c r="U1080" s="1">
        <v>45901.600802198707</v>
      </c>
      <c r="V1080" t="s">
        <v>32</v>
      </c>
      <c r="W1080" t="s">
        <v>97</v>
      </c>
      <c r="X1080">
        <v>1.285512508766244</v>
      </c>
      <c r="Y1080">
        <v>1.387059400895883</v>
      </c>
      <c r="Z1080">
        <v>3.331502106972041</v>
      </c>
      <c r="AA1080">
        <v>4.1179058512978441</v>
      </c>
      <c r="AB1080">
        <v>0.46201707451496538</v>
      </c>
    </row>
    <row r="1081" spans="1:28" x14ac:dyDescent="0.25">
      <c r="A1081">
        <v>6</v>
      </c>
      <c r="B1081">
        <v>22</v>
      </c>
      <c r="C1081">
        <v>14</v>
      </c>
      <c r="D1081">
        <v>2925</v>
      </c>
      <c r="E1081">
        <v>40</v>
      </c>
      <c r="F1081">
        <v>11</v>
      </c>
      <c r="G1081">
        <v>9.1636286918073893</v>
      </c>
      <c r="H1081" t="s">
        <v>699</v>
      </c>
      <c r="I1081" t="s">
        <v>29</v>
      </c>
      <c r="J1081">
        <v>0</v>
      </c>
      <c r="K1081">
        <v>94</v>
      </c>
      <c r="L1081" t="s">
        <v>700</v>
      </c>
      <c r="M1081">
        <v>1912</v>
      </c>
      <c r="N1081">
        <v>5.7930624894797802</v>
      </c>
      <c r="O1081">
        <v>11.42644364573062</v>
      </c>
      <c r="P1081">
        <v>4.1949455346912146</v>
      </c>
      <c r="Q1081">
        <v>17.539114020764831</v>
      </c>
      <c r="R1081">
        <v>5</v>
      </c>
      <c r="S1081" t="s">
        <v>690</v>
      </c>
      <c r="T1081">
        <v>2017</v>
      </c>
      <c r="U1081" s="1">
        <v>45901.600802198707</v>
      </c>
      <c r="V1081" t="s">
        <v>32</v>
      </c>
      <c r="W1081" t="s">
        <v>97</v>
      </c>
      <c r="X1081">
        <v>1.225228114193778</v>
      </c>
      <c r="Y1081">
        <v>1.2003978303741609</v>
      </c>
      <c r="Z1081">
        <v>2.573556354269384</v>
      </c>
      <c r="AA1081">
        <v>4.4246861924686192</v>
      </c>
      <c r="AB1081">
        <v>0.53785561093920264</v>
      </c>
    </row>
    <row r="1082" spans="1:28" x14ac:dyDescent="0.25">
      <c r="A1082">
        <v>6</v>
      </c>
      <c r="B1082">
        <v>25</v>
      </c>
      <c r="C1082">
        <v>10</v>
      </c>
      <c r="D1082">
        <v>1127</v>
      </c>
      <c r="E1082">
        <v>36</v>
      </c>
      <c r="F1082">
        <v>9</v>
      </c>
      <c r="G1082">
        <v>9.8352070320397615</v>
      </c>
      <c r="H1082" t="s">
        <v>709</v>
      </c>
      <c r="I1082" t="s">
        <v>49</v>
      </c>
      <c r="J1082">
        <v>1</v>
      </c>
      <c r="K1082">
        <v>62</v>
      </c>
      <c r="L1082" t="s">
        <v>692</v>
      </c>
      <c r="M1082">
        <v>2142</v>
      </c>
      <c r="N1082">
        <v>3.821305607445538</v>
      </c>
      <c r="O1082">
        <v>10.589486973360181</v>
      </c>
      <c r="P1082">
        <v>3.3979861233383422</v>
      </c>
      <c r="Q1082">
        <v>16.319553188979629</v>
      </c>
      <c r="R1082">
        <v>4</v>
      </c>
      <c r="S1082" t="s">
        <v>690</v>
      </c>
      <c r="T1082">
        <v>2017</v>
      </c>
      <c r="U1082" s="1">
        <v>45901.600802198707</v>
      </c>
      <c r="V1082" t="s">
        <v>32</v>
      </c>
      <c r="W1082" t="s">
        <v>97</v>
      </c>
      <c r="X1082">
        <v>0.94433281094323596</v>
      </c>
      <c r="Y1082">
        <v>0.91507987281620606</v>
      </c>
      <c r="Z1082">
        <v>-0.58948697336018085</v>
      </c>
      <c r="AA1082">
        <v>2.6050420168067232</v>
      </c>
      <c r="AB1082">
        <v>0.44493642745210837</v>
      </c>
    </row>
    <row r="1083" spans="1:28" x14ac:dyDescent="0.25">
      <c r="A1083">
        <v>3</v>
      </c>
      <c r="B1083">
        <v>22</v>
      </c>
      <c r="C1083">
        <v>10</v>
      </c>
      <c r="D1083">
        <v>3066</v>
      </c>
      <c r="E1083">
        <v>23</v>
      </c>
      <c r="F1083">
        <v>10</v>
      </c>
      <c r="G1083">
        <v>9.3473750688135624</v>
      </c>
      <c r="H1083" t="s">
        <v>710</v>
      </c>
      <c r="I1083" t="s">
        <v>35</v>
      </c>
      <c r="J1083">
        <v>0</v>
      </c>
      <c r="K1083">
        <v>60</v>
      </c>
      <c r="L1083" t="s">
        <v>689</v>
      </c>
      <c r="M1083">
        <v>1918</v>
      </c>
      <c r="N1083">
        <v>3.912738312035799</v>
      </c>
      <c r="O1083">
        <v>9.3473750688135624</v>
      </c>
      <c r="P1083">
        <v>5.5141191445291042</v>
      </c>
      <c r="Q1083">
        <v>15.04385172575712</v>
      </c>
      <c r="R1083">
        <v>2</v>
      </c>
      <c r="S1083" t="s">
        <v>690</v>
      </c>
      <c r="T1083">
        <v>2017</v>
      </c>
      <c r="U1083" s="1">
        <v>45901.600802198707</v>
      </c>
      <c r="V1083" t="s">
        <v>32</v>
      </c>
      <c r="W1083" t="s">
        <v>97</v>
      </c>
      <c r="X1083">
        <v>1.069819058974518</v>
      </c>
      <c r="Y1083">
        <v>1.069819058974518</v>
      </c>
      <c r="Z1083">
        <v>0.65262493118643761</v>
      </c>
      <c r="AA1083">
        <v>2.8154327424400418</v>
      </c>
      <c r="AB1083">
        <v>0.43861509707675728</v>
      </c>
    </row>
    <row r="1084" spans="1:28" x14ac:dyDescent="0.25">
      <c r="A1084">
        <v>5</v>
      </c>
      <c r="B1084">
        <v>30</v>
      </c>
      <c r="C1084">
        <v>10</v>
      </c>
      <c r="D1084">
        <v>4665</v>
      </c>
      <c r="E1084">
        <v>42</v>
      </c>
      <c r="F1084">
        <v>8</v>
      </c>
      <c r="G1084">
        <v>6.2500026654452094</v>
      </c>
      <c r="H1084" t="s">
        <v>711</v>
      </c>
      <c r="I1084" t="s">
        <v>35</v>
      </c>
      <c r="J1084">
        <v>0</v>
      </c>
      <c r="K1084">
        <v>111</v>
      </c>
      <c r="L1084" t="s">
        <v>696</v>
      </c>
      <c r="M1084">
        <v>2001</v>
      </c>
      <c r="N1084">
        <v>4.1969673801213503</v>
      </c>
      <c r="O1084">
        <v>7.7585527282208204</v>
      </c>
      <c r="P1084">
        <v>5.7008726950734854</v>
      </c>
      <c r="Q1084">
        <v>13.34338214434683</v>
      </c>
      <c r="R1084">
        <v>3</v>
      </c>
      <c r="S1084" t="s">
        <v>690</v>
      </c>
      <c r="T1084">
        <v>2017</v>
      </c>
      <c r="U1084" s="1">
        <v>45901.600802198707</v>
      </c>
      <c r="V1084" t="s">
        <v>32</v>
      </c>
      <c r="W1084" t="s">
        <v>97</v>
      </c>
      <c r="X1084">
        <v>1.2889001789761869</v>
      </c>
      <c r="Y1084">
        <v>1.2799994541170541</v>
      </c>
      <c r="Z1084">
        <v>2.24144727177918</v>
      </c>
      <c r="AA1084">
        <v>4.9925037481259373</v>
      </c>
      <c r="AB1084">
        <v>0.34896039257365008</v>
      </c>
    </row>
    <row r="1085" spans="1:28" x14ac:dyDescent="0.25">
      <c r="A1085">
        <v>6</v>
      </c>
      <c r="B1085">
        <v>30</v>
      </c>
      <c r="C1085">
        <v>10</v>
      </c>
      <c r="D1085">
        <v>5478</v>
      </c>
      <c r="E1085">
        <v>64</v>
      </c>
      <c r="F1085">
        <v>10</v>
      </c>
      <c r="G1085">
        <v>8.1085462234914303</v>
      </c>
      <c r="H1085" t="s">
        <v>712</v>
      </c>
      <c r="I1085" t="s">
        <v>35</v>
      </c>
      <c r="J1085">
        <v>0</v>
      </c>
      <c r="K1085">
        <v>69</v>
      </c>
      <c r="L1085" t="s">
        <v>700</v>
      </c>
      <c r="M1085">
        <v>2493</v>
      </c>
      <c r="N1085">
        <v>5.3900998421013364</v>
      </c>
      <c r="O1085">
        <v>8.1085462234914303</v>
      </c>
      <c r="P1085">
        <v>5.5692301504313946</v>
      </c>
      <c r="Q1085">
        <v>16.95110193639994</v>
      </c>
      <c r="R1085">
        <v>0</v>
      </c>
      <c r="S1085" t="s">
        <v>690</v>
      </c>
      <c r="T1085">
        <v>2017</v>
      </c>
      <c r="U1085" s="1">
        <v>45901.600802198707</v>
      </c>
      <c r="V1085" t="s">
        <v>32</v>
      </c>
      <c r="W1085" t="s">
        <v>97</v>
      </c>
      <c r="X1085">
        <v>1.233266694716348</v>
      </c>
      <c r="Y1085">
        <v>1.233266694716348</v>
      </c>
      <c r="Z1085">
        <v>1.8914537765085699</v>
      </c>
      <c r="AA1085">
        <v>2.4909747292418771</v>
      </c>
      <c r="AB1085">
        <v>0.29272730048705531</v>
      </c>
    </row>
    <row r="1086" spans="1:28" x14ac:dyDescent="0.25">
      <c r="A1086">
        <v>6</v>
      </c>
      <c r="B1086">
        <v>30</v>
      </c>
      <c r="C1086">
        <v>15</v>
      </c>
      <c r="D1086">
        <v>5454</v>
      </c>
      <c r="E1086">
        <v>53</v>
      </c>
      <c r="F1086">
        <v>13</v>
      </c>
      <c r="G1086">
        <v>13.531716492027041</v>
      </c>
      <c r="H1086" t="s">
        <v>713</v>
      </c>
      <c r="I1086" t="s">
        <v>29</v>
      </c>
      <c r="J1086">
        <v>0</v>
      </c>
      <c r="K1086">
        <v>98</v>
      </c>
      <c r="L1086" t="s">
        <v>696</v>
      </c>
      <c r="M1086">
        <v>2471</v>
      </c>
      <c r="N1086">
        <v>4.6286379098892212</v>
      </c>
      <c r="O1086">
        <v>15.04027248546481</v>
      </c>
      <c r="P1086">
        <v>4.6540080728009343</v>
      </c>
      <c r="Q1086">
        <v>20.732301250100139</v>
      </c>
      <c r="R1086">
        <v>1</v>
      </c>
      <c r="S1086" t="s">
        <v>690</v>
      </c>
      <c r="T1086">
        <v>2018</v>
      </c>
      <c r="U1086" s="1">
        <v>45901.600802198707</v>
      </c>
      <c r="V1086" t="s">
        <v>32</v>
      </c>
      <c r="W1086" t="s">
        <v>107</v>
      </c>
      <c r="X1086">
        <v>0.99732235665918079</v>
      </c>
      <c r="Y1086">
        <v>0.96070590953185175</v>
      </c>
      <c r="Z1086">
        <v>-4.0272485464811332E-2</v>
      </c>
      <c r="AA1086">
        <v>3.569405099150142</v>
      </c>
      <c r="AB1086">
        <v>0.5478043398186293</v>
      </c>
    </row>
    <row r="1087" spans="1:28" x14ac:dyDescent="0.25">
      <c r="A1087">
        <v>6</v>
      </c>
      <c r="B1087">
        <v>26</v>
      </c>
      <c r="C1087">
        <v>13</v>
      </c>
      <c r="D1087">
        <v>2774</v>
      </c>
      <c r="E1087">
        <v>27</v>
      </c>
      <c r="F1087">
        <v>12</v>
      </c>
      <c r="G1087">
        <v>14.91216517239809</v>
      </c>
      <c r="H1087" t="s">
        <v>714</v>
      </c>
      <c r="I1087" t="s">
        <v>49</v>
      </c>
      <c r="J1087">
        <v>0</v>
      </c>
      <c r="K1087">
        <v>84</v>
      </c>
      <c r="L1087" t="s">
        <v>715</v>
      </c>
      <c r="M1087">
        <v>2178</v>
      </c>
      <c r="N1087">
        <v>3.5290037505328651</v>
      </c>
      <c r="O1087">
        <v>15.66644115000963</v>
      </c>
      <c r="P1087">
        <v>3.0639001196250319</v>
      </c>
      <c r="Q1087">
        <v>15.68355106562376</v>
      </c>
      <c r="R1087">
        <v>6</v>
      </c>
      <c r="S1087" t="s">
        <v>690</v>
      </c>
      <c r="T1087">
        <v>2018</v>
      </c>
      <c r="U1087" s="1">
        <v>45901.600802198707</v>
      </c>
      <c r="V1087" t="s">
        <v>32</v>
      </c>
      <c r="W1087" t="s">
        <v>107</v>
      </c>
      <c r="X1087">
        <v>0.82979917873639142</v>
      </c>
      <c r="Y1087">
        <v>0.80471211666912001</v>
      </c>
      <c r="Z1087">
        <v>-2.6664411500096321</v>
      </c>
      <c r="AA1087">
        <v>3.4710743801652888</v>
      </c>
      <c r="AB1087">
        <v>0.64737360124006749</v>
      </c>
    </row>
    <row r="1088" spans="1:28" x14ac:dyDescent="0.25">
      <c r="A1088">
        <v>5</v>
      </c>
      <c r="B1088">
        <v>29</v>
      </c>
      <c r="C1088">
        <v>12</v>
      </c>
      <c r="D1088">
        <v>5478</v>
      </c>
      <c r="E1088">
        <v>52</v>
      </c>
      <c r="F1088">
        <v>8</v>
      </c>
      <c r="G1088">
        <v>9.3574750144034624</v>
      </c>
      <c r="H1088" t="s">
        <v>712</v>
      </c>
      <c r="I1088" t="s">
        <v>35</v>
      </c>
      <c r="J1088">
        <v>0</v>
      </c>
      <c r="K1088">
        <v>84</v>
      </c>
      <c r="L1088" t="s">
        <v>700</v>
      </c>
      <c r="M1088">
        <v>2465</v>
      </c>
      <c r="N1088">
        <v>6.2486253753304482</v>
      </c>
      <c r="O1088">
        <v>12.37457616254687</v>
      </c>
      <c r="P1088">
        <v>7.1698834020644426</v>
      </c>
      <c r="Q1088">
        <v>21.018639422953129</v>
      </c>
      <c r="R1088">
        <v>2</v>
      </c>
      <c r="S1088" t="s">
        <v>690</v>
      </c>
      <c r="T1088">
        <v>2018</v>
      </c>
      <c r="U1088" s="1">
        <v>45901.600802198707</v>
      </c>
      <c r="V1088" t="s">
        <v>32</v>
      </c>
      <c r="W1088" t="s">
        <v>107</v>
      </c>
      <c r="X1088">
        <v>0.96973018246228337</v>
      </c>
      <c r="Y1088">
        <v>0.8549314839404889</v>
      </c>
      <c r="Z1088">
        <v>-0.37457616254687132</v>
      </c>
      <c r="AA1088">
        <v>3.066937119675456</v>
      </c>
      <c r="AB1088">
        <v>0.45181008301388181</v>
      </c>
    </row>
    <row r="1089" spans="1:28" x14ac:dyDescent="0.25">
      <c r="A1089">
        <v>2</v>
      </c>
      <c r="B1089">
        <v>26</v>
      </c>
      <c r="C1089">
        <v>11</v>
      </c>
      <c r="D1089">
        <v>4605</v>
      </c>
      <c r="E1089">
        <v>44</v>
      </c>
      <c r="F1089">
        <v>7</v>
      </c>
      <c r="G1089">
        <v>3.7383840018883352</v>
      </c>
      <c r="H1089" t="s">
        <v>716</v>
      </c>
      <c r="I1089" t="s">
        <v>35</v>
      </c>
      <c r="J1089">
        <v>0</v>
      </c>
      <c r="K1089">
        <v>52</v>
      </c>
      <c r="L1089" t="s">
        <v>717</v>
      </c>
      <c r="M1089">
        <v>1806</v>
      </c>
      <c r="N1089">
        <v>3.8987332535907631</v>
      </c>
      <c r="O1089">
        <v>6.7554857293143868</v>
      </c>
      <c r="P1089">
        <v>3.7110459189862008</v>
      </c>
      <c r="Q1089">
        <v>8.5334324706345797</v>
      </c>
      <c r="R1089">
        <v>5</v>
      </c>
      <c r="S1089" t="s">
        <v>690</v>
      </c>
      <c r="T1089">
        <v>2018</v>
      </c>
      <c r="U1089" s="1">
        <v>45901.600802198707</v>
      </c>
      <c r="V1089" t="s">
        <v>32</v>
      </c>
      <c r="W1089" t="s">
        <v>107</v>
      </c>
      <c r="X1089">
        <v>1.6283063040555621</v>
      </c>
      <c r="Y1089">
        <v>1.8724668189421301</v>
      </c>
      <c r="Z1089">
        <v>4.2445142706856132</v>
      </c>
      <c r="AA1089">
        <v>2.5913621262458468</v>
      </c>
      <c r="AB1089">
        <v>0.3366521127565309</v>
      </c>
    </row>
    <row r="1090" spans="1:28" x14ac:dyDescent="0.25">
      <c r="A1090">
        <v>6</v>
      </c>
      <c r="B1090">
        <v>27</v>
      </c>
      <c r="C1090">
        <v>11</v>
      </c>
      <c r="D1090">
        <v>5924</v>
      </c>
      <c r="E1090">
        <v>34</v>
      </c>
      <c r="F1090">
        <v>11</v>
      </c>
      <c r="G1090">
        <v>9.5161815537139756</v>
      </c>
      <c r="H1090" t="s">
        <v>718</v>
      </c>
      <c r="I1090" t="s">
        <v>35</v>
      </c>
      <c r="J1090">
        <v>1</v>
      </c>
      <c r="K1090">
        <v>59</v>
      </c>
      <c r="L1090" t="s">
        <v>689</v>
      </c>
      <c r="M1090">
        <v>1853</v>
      </c>
      <c r="N1090">
        <v>3.238248673267663</v>
      </c>
      <c r="O1090">
        <v>9.5161815537139756</v>
      </c>
      <c r="P1090">
        <v>4.4975478192791343</v>
      </c>
      <c r="Q1090">
        <v>12.529133204370741</v>
      </c>
      <c r="R1090">
        <v>2</v>
      </c>
      <c r="S1090" t="s">
        <v>690</v>
      </c>
      <c r="T1090">
        <v>2018</v>
      </c>
      <c r="U1090" s="1">
        <v>45901.600802198707</v>
      </c>
      <c r="V1090" t="s">
        <v>32</v>
      </c>
      <c r="W1090" t="s">
        <v>107</v>
      </c>
      <c r="X1090">
        <v>1.155925823599584</v>
      </c>
      <c r="Y1090">
        <v>1.155925823599584</v>
      </c>
      <c r="Z1090">
        <v>1.483818446286024</v>
      </c>
      <c r="AA1090">
        <v>2.8656233135456022</v>
      </c>
      <c r="AB1090">
        <v>0.46219985959754878</v>
      </c>
    </row>
    <row r="1091" spans="1:28" x14ac:dyDescent="0.25">
      <c r="A1091">
        <v>2</v>
      </c>
      <c r="B1091">
        <v>25</v>
      </c>
      <c r="C1091">
        <v>10</v>
      </c>
      <c r="D1091">
        <v>2818</v>
      </c>
      <c r="E1091">
        <v>34</v>
      </c>
      <c r="F1091">
        <v>7</v>
      </c>
      <c r="G1091">
        <v>6.2585545009933412</v>
      </c>
      <c r="H1091" t="s">
        <v>719</v>
      </c>
      <c r="I1091" t="s">
        <v>29</v>
      </c>
      <c r="J1091">
        <v>0</v>
      </c>
      <c r="K1091">
        <v>50</v>
      </c>
      <c r="L1091" t="s">
        <v>692</v>
      </c>
      <c r="M1091">
        <v>1899</v>
      </c>
      <c r="N1091">
        <v>2.4591721072793011</v>
      </c>
      <c r="O1091">
        <v>8.5213657966814935</v>
      </c>
      <c r="P1091">
        <v>3.0271117780357599</v>
      </c>
      <c r="Q1091">
        <v>9.6336518153548241</v>
      </c>
      <c r="R1091">
        <v>6</v>
      </c>
      <c r="S1091" t="s">
        <v>690</v>
      </c>
      <c r="T1091">
        <v>2018</v>
      </c>
      <c r="U1091" s="1">
        <v>45901.600802198707</v>
      </c>
      <c r="V1091" t="s">
        <v>32</v>
      </c>
      <c r="W1091" t="s">
        <v>107</v>
      </c>
      <c r="X1091">
        <v>1.1735207992003269</v>
      </c>
      <c r="Y1091">
        <v>1.1184691287563251</v>
      </c>
      <c r="Z1091">
        <v>1.478634203318506</v>
      </c>
      <c r="AA1091">
        <v>2.3696682464454981</v>
      </c>
      <c r="AB1091">
        <v>0.40385619889485752</v>
      </c>
    </row>
    <row r="1092" spans="1:28" x14ac:dyDescent="0.25">
      <c r="A1092">
        <v>7</v>
      </c>
      <c r="B1092">
        <v>28</v>
      </c>
      <c r="C1092">
        <v>17</v>
      </c>
      <c r="D1092">
        <v>2774</v>
      </c>
      <c r="E1092">
        <v>32</v>
      </c>
      <c r="F1092">
        <v>16</v>
      </c>
      <c r="G1092">
        <v>15.744411416351801</v>
      </c>
      <c r="H1092" t="s">
        <v>714</v>
      </c>
      <c r="I1092" t="s">
        <v>35</v>
      </c>
      <c r="J1092">
        <v>0</v>
      </c>
      <c r="K1092">
        <v>90</v>
      </c>
      <c r="L1092" t="s">
        <v>689</v>
      </c>
      <c r="M1092">
        <v>2118</v>
      </c>
      <c r="N1092">
        <v>6.2028393093496561</v>
      </c>
      <c r="O1092">
        <v>17.252966366708279</v>
      </c>
      <c r="P1092">
        <v>3.1304863356053829</v>
      </c>
      <c r="Q1092">
        <v>23.43520633131266</v>
      </c>
      <c r="R1092">
        <v>3</v>
      </c>
      <c r="S1092" t="s">
        <v>690</v>
      </c>
      <c r="T1092">
        <v>2019</v>
      </c>
      <c r="U1092" s="1">
        <v>45901.600802198707</v>
      </c>
      <c r="V1092" t="s">
        <v>32</v>
      </c>
      <c r="W1092" t="s">
        <v>122</v>
      </c>
      <c r="X1092">
        <v>0.98533780444872321</v>
      </c>
      <c r="Y1092">
        <v>1.0162336067630171</v>
      </c>
      <c r="Z1092">
        <v>-0.25296636670827871</v>
      </c>
      <c r="AA1092">
        <v>3.8243626062322948</v>
      </c>
      <c r="AB1092">
        <v>0.73312888243802887</v>
      </c>
    </row>
    <row r="1093" spans="1:28" x14ac:dyDescent="0.25">
      <c r="A1093">
        <v>12</v>
      </c>
      <c r="B1093">
        <v>28</v>
      </c>
      <c r="C1093">
        <v>17</v>
      </c>
      <c r="D1093">
        <v>3063</v>
      </c>
      <c r="E1093">
        <v>56</v>
      </c>
      <c r="F1093">
        <v>10</v>
      </c>
      <c r="G1093">
        <v>10.5618834272027</v>
      </c>
      <c r="H1093" t="s">
        <v>701</v>
      </c>
      <c r="I1093" t="s">
        <v>29</v>
      </c>
      <c r="J1093">
        <v>0</v>
      </c>
      <c r="K1093">
        <v>80</v>
      </c>
      <c r="L1093" t="s">
        <v>689</v>
      </c>
      <c r="M1093">
        <v>2315</v>
      </c>
      <c r="N1093">
        <v>9.3308495115488768</v>
      </c>
      <c r="O1093">
        <v>15.84181451424956</v>
      </c>
      <c r="P1093">
        <v>7.4098445754498243</v>
      </c>
      <c r="Q1093">
        <v>20.708383686840531</v>
      </c>
      <c r="R1093">
        <v>2</v>
      </c>
      <c r="S1093" t="s">
        <v>690</v>
      </c>
      <c r="T1093">
        <v>2019</v>
      </c>
      <c r="U1093" s="1">
        <v>45901.600802198707</v>
      </c>
      <c r="V1093" t="s">
        <v>32</v>
      </c>
      <c r="W1093" t="s">
        <v>122</v>
      </c>
      <c r="X1093">
        <v>1.0731093956887741</v>
      </c>
      <c r="Y1093">
        <v>0.94680083045079433</v>
      </c>
      <c r="Z1093">
        <v>1.158185485750437</v>
      </c>
      <c r="AA1093">
        <v>3.1101511879049681</v>
      </c>
      <c r="AB1093">
        <v>0.61588047787579292</v>
      </c>
    </row>
    <row r="1094" spans="1:28" x14ac:dyDescent="0.25">
      <c r="A1094">
        <v>3</v>
      </c>
      <c r="B1094">
        <v>28</v>
      </c>
      <c r="C1094">
        <v>15</v>
      </c>
      <c r="D1094">
        <v>3035</v>
      </c>
      <c r="E1094">
        <v>23</v>
      </c>
      <c r="F1094">
        <v>15</v>
      </c>
      <c r="G1094">
        <v>6.8666727766394624</v>
      </c>
      <c r="H1094" t="s">
        <v>705</v>
      </c>
      <c r="I1094" t="s">
        <v>29</v>
      </c>
      <c r="J1094">
        <v>0</v>
      </c>
      <c r="K1094">
        <v>60</v>
      </c>
      <c r="L1094" t="s">
        <v>720</v>
      </c>
      <c r="M1094">
        <v>2194</v>
      </c>
      <c r="N1094">
        <v>2.2261127838864918</v>
      </c>
      <c r="O1094">
        <v>7.6209478005766869</v>
      </c>
      <c r="P1094">
        <v>1.454511505551636</v>
      </c>
      <c r="Q1094">
        <v>9.5837752930820006</v>
      </c>
      <c r="R1094">
        <v>4</v>
      </c>
      <c r="S1094" t="s">
        <v>690</v>
      </c>
      <c r="T1094">
        <v>2019</v>
      </c>
      <c r="U1094" s="1">
        <v>45901.600802198707</v>
      </c>
      <c r="V1094" t="s">
        <v>32</v>
      </c>
      <c r="W1094" t="s">
        <v>122</v>
      </c>
      <c r="X1094">
        <v>1.9682591184871949</v>
      </c>
      <c r="Y1094">
        <v>2.1844640756772709</v>
      </c>
      <c r="Z1094">
        <v>7.3790521994233131</v>
      </c>
      <c r="AA1094">
        <v>2.461257976298997</v>
      </c>
      <c r="AB1094">
        <v>0.31261864268546108</v>
      </c>
    </row>
    <row r="1095" spans="1:28" x14ac:dyDescent="0.25">
      <c r="A1095">
        <v>3</v>
      </c>
      <c r="B1095">
        <v>27</v>
      </c>
      <c r="C1095">
        <v>12</v>
      </c>
      <c r="D1095">
        <v>2711</v>
      </c>
      <c r="E1095">
        <v>69</v>
      </c>
      <c r="F1095">
        <v>5</v>
      </c>
      <c r="G1095">
        <v>5.9836794128641486</v>
      </c>
      <c r="H1095" t="s">
        <v>721</v>
      </c>
      <c r="I1095" t="s">
        <v>35</v>
      </c>
      <c r="J1095">
        <v>0</v>
      </c>
      <c r="K1095">
        <v>80</v>
      </c>
      <c r="L1095" t="s">
        <v>717</v>
      </c>
      <c r="M1095">
        <v>2272</v>
      </c>
      <c r="N1095">
        <v>8.2816559039056301</v>
      </c>
      <c r="O1095">
        <v>12.01787597220391</v>
      </c>
      <c r="P1095">
        <v>7.2999918516725302</v>
      </c>
      <c r="Q1095">
        <v>15.037455648183821</v>
      </c>
      <c r="R1095">
        <v>1</v>
      </c>
      <c r="S1095" t="s">
        <v>690</v>
      </c>
      <c r="T1095">
        <v>2019</v>
      </c>
      <c r="U1095" s="1">
        <v>45901.600802198707</v>
      </c>
      <c r="V1095" t="s">
        <v>32</v>
      </c>
      <c r="W1095" t="s">
        <v>122</v>
      </c>
      <c r="X1095">
        <v>0.99851255144875384</v>
      </c>
      <c r="Y1095">
        <v>0.83560626414086236</v>
      </c>
      <c r="Z1095">
        <v>-1.7875972203910351E-2</v>
      </c>
      <c r="AA1095">
        <v>3.169014084507042</v>
      </c>
      <c r="AB1095">
        <v>0.47606022777216189</v>
      </c>
    </row>
    <row r="1096" spans="1:28" x14ac:dyDescent="0.25">
      <c r="A1096">
        <v>4</v>
      </c>
      <c r="B1096">
        <v>29</v>
      </c>
      <c r="C1096">
        <v>12</v>
      </c>
      <c r="D1096">
        <v>5397</v>
      </c>
      <c r="E1096">
        <v>34</v>
      </c>
      <c r="F1096">
        <v>10</v>
      </c>
      <c r="G1096">
        <v>6.2697375565767288</v>
      </c>
      <c r="H1096" t="s">
        <v>722</v>
      </c>
      <c r="I1096" t="s">
        <v>29</v>
      </c>
      <c r="J1096">
        <v>0</v>
      </c>
      <c r="K1096">
        <v>62</v>
      </c>
      <c r="L1096" t="s">
        <v>723</v>
      </c>
      <c r="M1096">
        <v>2209</v>
      </c>
      <c r="N1096">
        <v>3.1608511693775649</v>
      </c>
      <c r="O1096">
        <v>9.2868373915553093</v>
      </c>
      <c r="P1096">
        <v>1.4133483022451401</v>
      </c>
      <c r="Q1096">
        <v>8.2546271793544292</v>
      </c>
      <c r="R1096">
        <v>9</v>
      </c>
      <c r="S1096" t="s">
        <v>690</v>
      </c>
      <c r="T1096">
        <v>2019</v>
      </c>
      <c r="U1096" s="1">
        <v>45901.600802198707</v>
      </c>
      <c r="V1096" t="s">
        <v>32</v>
      </c>
      <c r="W1096" t="s">
        <v>122</v>
      </c>
      <c r="X1096">
        <v>1.292151406776199</v>
      </c>
      <c r="Y1096">
        <v>1.594963092117047</v>
      </c>
      <c r="Z1096">
        <v>2.7131626084446911</v>
      </c>
      <c r="AA1096">
        <v>2.5260298777727481</v>
      </c>
      <c r="AB1096">
        <v>0.37836820517880387</v>
      </c>
    </row>
    <row r="1097" spans="1:28" x14ac:dyDescent="0.25">
      <c r="A1097">
        <v>5</v>
      </c>
      <c r="B1097">
        <v>30</v>
      </c>
      <c r="C1097">
        <v>12</v>
      </c>
      <c r="D1097">
        <v>6276</v>
      </c>
      <c r="E1097">
        <v>88</v>
      </c>
      <c r="F1097">
        <v>10</v>
      </c>
      <c r="G1097">
        <v>6.1878772135823974</v>
      </c>
      <c r="H1097" t="s">
        <v>724</v>
      </c>
      <c r="I1097" t="s">
        <v>49</v>
      </c>
      <c r="J1097">
        <v>0</v>
      </c>
      <c r="K1097">
        <v>102</v>
      </c>
      <c r="L1097" t="s">
        <v>696</v>
      </c>
      <c r="M1097">
        <v>2660</v>
      </c>
      <c r="N1097">
        <v>6.1235618144273758</v>
      </c>
      <c r="O1097">
        <v>8.4507020246237516</v>
      </c>
      <c r="P1097">
        <v>7.380495872348547</v>
      </c>
      <c r="Q1097">
        <v>15.95468980073929</v>
      </c>
      <c r="R1097">
        <v>2</v>
      </c>
      <c r="S1097" t="s">
        <v>690</v>
      </c>
      <c r="T1097">
        <v>2019</v>
      </c>
      <c r="U1097" s="1">
        <v>45901.600802198707</v>
      </c>
      <c r="V1097" t="s">
        <v>32</v>
      </c>
      <c r="W1097" t="s">
        <v>122</v>
      </c>
      <c r="X1097">
        <v>1.420000369795819</v>
      </c>
      <c r="Y1097">
        <v>1.6160630947960619</v>
      </c>
      <c r="Z1097">
        <v>3.5492979753762479</v>
      </c>
      <c r="AA1097">
        <v>3.4511278195488719</v>
      </c>
      <c r="AB1097">
        <v>0.28592600835193138</v>
      </c>
    </row>
    <row r="1098" spans="1:28" x14ac:dyDescent="0.25">
      <c r="A1098">
        <v>6</v>
      </c>
      <c r="B1098">
        <v>28</v>
      </c>
      <c r="C1098">
        <v>11</v>
      </c>
      <c r="D1098">
        <v>5954</v>
      </c>
      <c r="E1098">
        <v>38</v>
      </c>
      <c r="F1098">
        <v>11</v>
      </c>
      <c r="G1098">
        <v>9.5323263891041279</v>
      </c>
      <c r="H1098" t="s">
        <v>725</v>
      </c>
      <c r="I1098" t="s">
        <v>32</v>
      </c>
      <c r="J1098">
        <v>0</v>
      </c>
      <c r="K1098">
        <v>80</v>
      </c>
      <c r="L1098" t="s">
        <v>726</v>
      </c>
      <c r="M1098">
        <v>2382</v>
      </c>
      <c r="N1098">
        <v>4.3331597466021776</v>
      </c>
      <c r="O1098">
        <v>9.5323263891041279</v>
      </c>
      <c r="P1098">
        <v>2.6349898786284029</v>
      </c>
      <c r="Q1098">
        <v>15.6740616010502</v>
      </c>
      <c r="R1098">
        <v>4</v>
      </c>
      <c r="S1098" t="s">
        <v>690</v>
      </c>
      <c r="T1098">
        <v>2019</v>
      </c>
      <c r="U1098" s="1">
        <v>45901.600802198707</v>
      </c>
      <c r="V1098" t="s">
        <v>32</v>
      </c>
      <c r="W1098" t="s">
        <v>122</v>
      </c>
      <c r="X1098">
        <v>1.153968040013138</v>
      </c>
      <c r="Y1098">
        <v>1.153968040013138</v>
      </c>
      <c r="Z1098">
        <v>1.4676736108958719</v>
      </c>
      <c r="AA1098">
        <v>3.0226700251889169</v>
      </c>
      <c r="AB1098">
        <v>0.36016346558327939</v>
      </c>
    </row>
    <row r="1099" spans="1:28" x14ac:dyDescent="0.25">
      <c r="A1099">
        <v>6</v>
      </c>
      <c r="B1099">
        <v>27</v>
      </c>
      <c r="C1099">
        <v>20</v>
      </c>
      <c r="D1099">
        <v>3063</v>
      </c>
      <c r="E1099">
        <v>56</v>
      </c>
      <c r="F1099">
        <v>17</v>
      </c>
      <c r="G1099">
        <v>12.527943335473539</v>
      </c>
      <c r="H1099" t="s">
        <v>701</v>
      </c>
      <c r="I1099" t="s">
        <v>29</v>
      </c>
      <c r="J1099">
        <v>0</v>
      </c>
      <c r="K1099">
        <v>73</v>
      </c>
      <c r="L1099" t="s">
        <v>689</v>
      </c>
      <c r="M1099">
        <v>2264</v>
      </c>
      <c r="N1099">
        <v>7.4856926780194044</v>
      </c>
      <c r="O1099">
        <v>17.05359519273043</v>
      </c>
      <c r="P1099">
        <v>5.7720494521781802</v>
      </c>
      <c r="Q1099">
        <v>23.019929742440581</v>
      </c>
      <c r="R1099">
        <v>0</v>
      </c>
      <c r="S1099" t="s">
        <v>690</v>
      </c>
      <c r="T1099">
        <v>2020</v>
      </c>
      <c r="U1099" s="1">
        <v>45901.600802198707</v>
      </c>
      <c r="V1099" t="s">
        <v>32</v>
      </c>
      <c r="W1099" t="s">
        <v>130</v>
      </c>
      <c r="X1099">
        <v>1.1727732348499491</v>
      </c>
      <c r="Y1099">
        <v>1.3569665462856619</v>
      </c>
      <c r="Z1099">
        <v>2.9464048072695732</v>
      </c>
      <c r="AA1099">
        <v>2.9019434628975271</v>
      </c>
      <c r="AB1099">
        <v>0.67792560395129786</v>
      </c>
    </row>
    <row r="1100" spans="1:28" x14ac:dyDescent="0.25">
      <c r="A1100">
        <v>2</v>
      </c>
      <c r="B1100">
        <v>24</v>
      </c>
      <c r="C1100">
        <v>19</v>
      </c>
      <c r="D1100">
        <v>2774</v>
      </c>
      <c r="E1100">
        <v>22</v>
      </c>
      <c r="F1100">
        <v>16</v>
      </c>
      <c r="G1100">
        <v>14.83382400684059</v>
      </c>
      <c r="H1100" t="s">
        <v>714</v>
      </c>
      <c r="I1100" t="s">
        <v>29</v>
      </c>
      <c r="J1100">
        <v>0</v>
      </c>
      <c r="K1100">
        <v>83</v>
      </c>
      <c r="L1100" t="s">
        <v>689</v>
      </c>
      <c r="M1100">
        <v>1763</v>
      </c>
      <c r="N1100">
        <v>2.467505008913577</v>
      </c>
      <c r="O1100">
        <v>18.60519201867282</v>
      </c>
      <c r="P1100">
        <v>4.6096668783575296</v>
      </c>
      <c r="Q1100">
        <v>17.94967240747064</v>
      </c>
      <c r="R1100">
        <v>4</v>
      </c>
      <c r="S1100" t="s">
        <v>690</v>
      </c>
      <c r="T1100">
        <v>2020</v>
      </c>
      <c r="U1100" s="1">
        <v>45901.600802198707</v>
      </c>
      <c r="V1100" t="s">
        <v>32</v>
      </c>
      <c r="W1100" t="s">
        <v>130</v>
      </c>
      <c r="X1100">
        <v>1.021220312100565</v>
      </c>
      <c r="Y1100">
        <v>1.0786160057326839</v>
      </c>
      <c r="Z1100">
        <v>0.39480798132717609</v>
      </c>
      <c r="AA1100">
        <v>4.2370958593306867</v>
      </c>
      <c r="AB1100">
        <v>0.94978291643820434</v>
      </c>
    </row>
    <row r="1101" spans="1:28" x14ac:dyDescent="0.25">
      <c r="A1101">
        <v>5</v>
      </c>
      <c r="B1101">
        <v>29</v>
      </c>
      <c r="C1101">
        <v>15</v>
      </c>
      <c r="D1101">
        <v>7770</v>
      </c>
      <c r="E1101">
        <v>56</v>
      </c>
      <c r="F1101">
        <v>14</v>
      </c>
      <c r="G1101">
        <v>10.73449130728841</v>
      </c>
      <c r="H1101" t="s">
        <v>727</v>
      </c>
      <c r="I1101" t="s">
        <v>49</v>
      </c>
      <c r="J1101">
        <v>0</v>
      </c>
      <c r="K1101">
        <v>80</v>
      </c>
      <c r="L1101" t="s">
        <v>692</v>
      </c>
      <c r="M1101">
        <v>2539</v>
      </c>
      <c r="N1101">
        <v>4.8535224013030529</v>
      </c>
      <c r="O1101">
        <v>12.24304190650582</v>
      </c>
      <c r="P1101">
        <v>5.6575437719002366</v>
      </c>
      <c r="Q1101">
        <v>18.477916818112131</v>
      </c>
      <c r="R1101">
        <v>6</v>
      </c>
      <c r="S1101" t="s">
        <v>690</v>
      </c>
      <c r="T1101">
        <v>2020</v>
      </c>
      <c r="U1101" s="1">
        <v>45901.600802198707</v>
      </c>
      <c r="V1101" t="s">
        <v>32</v>
      </c>
      <c r="W1101" t="s">
        <v>130</v>
      </c>
      <c r="X1101">
        <v>1.2251857107529101</v>
      </c>
      <c r="Y1101">
        <v>1.304207120694616</v>
      </c>
      <c r="Z1101">
        <v>2.7569580934941769</v>
      </c>
      <c r="AA1101">
        <v>2.835762111067349</v>
      </c>
      <c r="AB1101">
        <v>0.43397942953348723</v>
      </c>
    </row>
    <row r="1102" spans="1:28" x14ac:dyDescent="0.25">
      <c r="A1102">
        <v>4</v>
      </c>
      <c r="B1102">
        <v>22</v>
      </c>
      <c r="C1102">
        <v>14</v>
      </c>
      <c r="D1102">
        <v>5397</v>
      </c>
      <c r="E1102">
        <v>30</v>
      </c>
      <c r="F1102">
        <v>9</v>
      </c>
      <c r="G1102">
        <v>7.2650615125894547</v>
      </c>
      <c r="H1102" t="s">
        <v>722</v>
      </c>
      <c r="I1102" t="s">
        <v>29</v>
      </c>
      <c r="J1102">
        <v>0</v>
      </c>
      <c r="K1102">
        <v>71</v>
      </c>
      <c r="L1102" t="s">
        <v>692</v>
      </c>
      <c r="M1102">
        <v>1518</v>
      </c>
      <c r="N1102">
        <v>3.5435364674776801</v>
      </c>
      <c r="O1102">
        <v>11.03643241524696</v>
      </c>
      <c r="P1102">
        <v>1.9965616632252929</v>
      </c>
      <c r="Q1102">
        <v>10.061938337981699</v>
      </c>
      <c r="R1102">
        <v>10</v>
      </c>
      <c r="S1102" t="s">
        <v>690</v>
      </c>
      <c r="T1102">
        <v>2020</v>
      </c>
      <c r="U1102" s="1">
        <v>45901.600802198707</v>
      </c>
      <c r="V1102" t="s">
        <v>32</v>
      </c>
      <c r="W1102" t="s">
        <v>130</v>
      </c>
      <c r="X1102">
        <v>1.268525867168709</v>
      </c>
      <c r="Y1102">
        <v>1.2388057533173129</v>
      </c>
      <c r="Z1102">
        <v>2.9635675847530361</v>
      </c>
      <c r="AA1102">
        <v>4.2094861660079053</v>
      </c>
      <c r="AB1102">
        <v>0.65433393766286341</v>
      </c>
    </row>
    <row r="1103" spans="1:28" x14ac:dyDescent="0.25">
      <c r="A1103">
        <v>3</v>
      </c>
      <c r="B1103">
        <v>26</v>
      </c>
      <c r="C1103">
        <v>14</v>
      </c>
      <c r="D1103">
        <v>7121</v>
      </c>
      <c r="E1103">
        <v>23</v>
      </c>
      <c r="F1103">
        <v>10</v>
      </c>
      <c r="G1103">
        <v>8.7309488821774721</v>
      </c>
      <c r="H1103" t="s">
        <v>728</v>
      </c>
      <c r="I1103" t="s">
        <v>29</v>
      </c>
      <c r="J1103">
        <v>0</v>
      </c>
      <c r="K1103">
        <v>63</v>
      </c>
      <c r="L1103" t="s">
        <v>698</v>
      </c>
      <c r="M1103">
        <v>1987</v>
      </c>
      <c r="N1103">
        <v>2.423572596162558</v>
      </c>
      <c r="O1103">
        <v>11.74804922938347</v>
      </c>
      <c r="P1103">
        <v>3.2643672153353691</v>
      </c>
      <c r="Q1103">
        <v>11.14036021754146</v>
      </c>
      <c r="R1103">
        <v>6</v>
      </c>
      <c r="S1103" t="s">
        <v>690</v>
      </c>
      <c r="T1103">
        <v>2020</v>
      </c>
      <c r="U1103" s="1">
        <v>45901.600802198707</v>
      </c>
      <c r="V1103" t="s">
        <v>32</v>
      </c>
      <c r="W1103" t="s">
        <v>130</v>
      </c>
      <c r="X1103">
        <v>1.191687209224839</v>
      </c>
      <c r="Y1103">
        <v>1.1453508816679761</v>
      </c>
      <c r="Z1103">
        <v>2.2519507706165309</v>
      </c>
      <c r="AA1103">
        <v>2.8535480624056371</v>
      </c>
      <c r="AB1103">
        <v>0.53212100183417821</v>
      </c>
    </row>
    <row r="1104" spans="1:28" x14ac:dyDescent="0.25">
      <c r="A1104">
        <v>4</v>
      </c>
      <c r="B1104">
        <v>27</v>
      </c>
      <c r="C1104">
        <v>10</v>
      </c>
      <c r="D1104">
        <v>5899</v>
      </c>
      <c r="E1104">
        <v>25</v>
      </c>
      <c r="F1104">
        <v>10</v>
      </c>
      <c r="G1104">
        <v>9.3331125788390636</v>
      </c>
      <c r="H1104" t="s">
        <v>729</v>
      </c>
      <c r="I1104" t="s">
        <v>29</v>
      </c>
      <c r="J1104">
        <v>0</v>
      </c>
      <c r="K1104">
        <v>83</v>
      </c>
      <c r="L1104" t="s">
        <v>730</v>
      </c>
      <c r="M1104">
        <v>1973</v>
      </c>
      <c r="N1104">
        <v>1.888666064478457</v>
      </c>
      <c r="O1104">
        <v>9.3331125788390636</v>
      </c>
      <c r="P1104">
        <v>1.6335270870476959</v>
      </c>
      <c r="Q1104">
        <v>11.48738592676818</v>
      </c>
      <c r="R1104">
        <v>6</v>
      </c>
      <c r="S1104" t="s">
        <v>690</v>
      </c>
      <c r="T1104">
        <v>2020</v>
      </c>
      <c r="U1104" s="1">
        <v>45901.600802198707</v>
      </c>
      <c r="V1104" t="s">
        <v>32</v>
      </c>
      <c r="W1104" t="s">
        <v>130</v>
      </c>
      <c r="X1104">
        <v>1.071453913742878</v>
      </c>
      <c r="Y1104">
        <v>1.071453913742878</v>
      </c>
      <c r="Z1104">
        <v>0.66688742116093636</v>
      </c>
      <c r="AA1104">
        <v>3.786112519006589</v>
      </c>
      <c r="AB1104">
        <v>0.42573752260289699</v>
      </c>
    </row>
    <row r="1105" spans="1:28" x14ac:dyDescent="0.25">
      <c r="A1105">
        <v>1</v>
      </c>
      <c r="B1105">
        <v>29</v>
      </c>
      <c r="C1105">
        <v>19</v>
      </c>
      <c r="D1105">
        <v>6772</v>
      </c>
      <c r="E1105">
        <v>27</v>
      </c>
      <c r="F1105">
        <v>13</v>
      </c>
      <c r="G1105">
        <v>9.7169750370085239</v>
      </c>
      <c r="H1105" t="s">
        <v>731</v>
      </c>
      <c r="I1105" t="s">
        <v>29</v>
      </c>
      <c r="J1105">
        <v>0</v>
      </c>
      <c r="K1105">
        <v>67</v>
      </c>
      <c r="L1105" t="s">
        <v>732</v>
      </c>
      <c r="M1105">
        <v>2326</v>
      </c>
      <c r="N1105">
        <v>2.4490752341225739</v>
      </c>
      <c r="O1105">
        <v>14.242621120065451</v>
      </c>
      <c r="P1105">
        <v>1.061000522226095</v>
      </c>
      <c r="Q1105">
        <v>10.828131875023249</v>
      </c>
      <c r="R1105">
        <v>5</v>
      </c>
      <c r="S1105" t="s">
        <v>690</v>
      </c>
      <c r="T1105">
        <v>2021</v>
      </c>
      <c r="U1105" s="1">
        <v>45901.600802198707</v>
      </c>
      <c r="V1105" t="s">
        <v>32</v>
      </c>
      <c r="W1105" t="s">
        <v>138</v>
      </c>
      <c r="X1105">
        <v>1.3340241125442991</v>
      </c>
      <c r="Y1105">
        <v>1.3378649168581369</v>
      </c>
      <c r="Z1105">
        <v>4.7573788799345493</v>
      </c>
      <c r="AA1105">
        <v>2.592433361994841</v>
      </c>
      <c r="AB1105">
        <v>0.55109024110313432</v>
      </c>
    </row>
    <row r="1106" spans="1:28" x14ac:dyDescent="0.25">
      <c r="A1106">
        <v>3</v>
      </c>
      <c r="B1106">
        <v>27</v>
      </c>
      <c r="C1106">
        <v>14</v>
      </c>
      <c r="D1106">
        <v>2775</v>
      </c>
      <c r="E1106">
        <v>45</v>
      </c>
      <c r="F1106">
        <v>9</v>
      </c>
      <c r="G1106">
        <v>5.817438617348671</v>
      </c>
      <c r="H1106" t="s">
        <v>733</v>
      </c>
      <c r="I1106" t="s">
        <v>35</v>
      </c>
      <c r="J1106">
        <v>0</v>
      </c>
      <c r="K1106">
        <v>47</v>
      </c>
      <c r="L1106" t="s">
        <v>726</v>
      </c>
      <c r="M1106">
        <v>2024</v>
      </c>
      <c r="N1106">
        <v>4.0492063947021961</v>
      </c>
      <c r="O1106">
        <v>11.09736430644989</v>
      </c>
      <c r="P1106">
        <v>2.5003902055323119</v>
      </c>
      <c r="Q1106">
        <v>10.549227342009541</v>
      </c>
      <c r="R1106">
        <v>1</v>
      </c>
      <c r="S1106" t="s">
        <v>690</v>
      </c>
      <c r="T1106">
        <v>2021</v>
      </c>
      <c r="U1106" s="1">
        <v>45901.600802198707</v>
      </c>
      <c r="V1106" t="s">
        <v>32</v>
      </c>
      <c r="W1106" t="s">
        <v>138</v>
      </c>
      <c r="X1106">
        <v>1.2615608187128791</v>
      </c>
      <c r="Y1106">
        <v>1.547072619410258</v>
      </c>
      <c r="Z1106">
        <v>2.9026356935501099</v>
      </c>
      <c r="AA1106">
        <v>2.089920948616601</v>
      </c>
      <c r="AB1106">
        <v>0.49345987528680341</v>
      </c>
    </row>
    <row r="1107" spans="1:28" x14ac:dyDescent="0.25">
      <c r="A1107">
        <v>4</v>
      </c>
      <c r="B1107">
        <v>22</v>
      </c>
      <c r="C1107">
        <v>14</v>
      </c>
      <c r="D1107">
        <v>9988</v>
      </c>
      <c r="E1107">
        <v>32</v>
      </c>
      <c r="F1107">
        <v>14</v>
      </c>
      <c r="G1107">
        <v>13.734042018651961</v>
      </c>
      <c r="H1107" t="s">
        <v>734</v>
      </c>
      <c r="I1107" t="s">
        <v>32</v>
      </c>
      <c r="J1107">
        <v>0</v>
      </c>
      <c r="K1107">
        <v>60</v>
      </c>
      <c r="L1107" t="s">
        <v>730</v>
      </c>
      <c r="M1107">
        <v>1877</v>
      </c>
      <c r="N1107">
        <v>3.8524649832397699</v>
      </c>
      <c r="O1107">
        <v>13.734042018651961</v>
      </c>
      <c r="P1107">
        <v>2.8039957480505109</v>
      </c>
      <c r="Q1107">
        <v>18.260452061891559</v>
      </c>
      <c r="R1107">
        <v>3</v>
      </c>
      <c r="S1107" t="s">
        <v>690</v>
      </c>
      <c r="T1107">
        <v>2021</v>
      </c>
      <c r="U1107" s="1">
        <v>45901.600802198707</v>
      </c>
      <c r="V1107" t="s">
        <v>32</v>
      </c>
      <c r="W1107" t="s">
        <v>138</v>
      </c>
      <c r="X1107">
        <v>1.0193648731368989</v>
      </c>
      <c r="Y1107">
        <v>1.0193648731368989</v>
      </c>
      <c r="Z1107">
        <v>0.26595798134803772</v>
      </c>
      <c r="AA1107">
        <v>2.8769312733084709</v>
      </c>
      <c r="AB1107">
        <v>0.65853158320654048</v>
      </c>
    </row>
    <row r="1108" spans="1:28" x14ac:dyDescent="0.25">
      <c r="A1108">
        <v>0</v>
      </c>
      <c r="B1108">
        <v>26</v>
      </c>
      <c r="C1108">
        <v>12</v>
      </c>
      <c r="D1108">
        <v>2925</v>
      </c>
      <c r="E1108">
        <v>32</v>
      </c>
      <c r="F1108">
        <v>10</v>
      </c>
      <c r="G1108">
        <v>6.7031820956617594</v>
      </c>
      <c r="H1108" t="s">
        <v>699</v>
      </c>
      <c r="I1108" t="s">
        <v>29</v>
      </c>
      <c r="J1108">
        <v>0</v>
      </c>
      <c r="K1108">
        <v>70</v>
      </c>
      <c r="L1108" t="s">
        <v>735</v>
      </c>
      <c r="M1108">
        <v>1988</v>
      </c>
      <c r="N1108">
        <v>1.2697360999882219</v>
      </c>
      <c r="O1108">
        <v>8.2117326352745295</v>
      </c>
      <c r="P1108">
        <v>2.4973777867853642</v>
      </c>
      <c r="Q1108">
        <v>9.0341457705944777</v>
      </c>
      <c r="R1108">
        <v>0</v>
      </c>
      <c r="S1108" t="s">
        <v>690</v>
      </c>
      <c r="T1108">
        <v>2021</v>
      </c>
      <c r="U1108" s="1">
        <v>45901.600802198707</v>
      </c>
      <c r="V1108" t="s">
        <v>32</v>
      </c>
      <c r="W1108" t="s">
        <v>138</v>
      </c>
      <c r="X1108">
        <v>1.461323758697707</v>
      </c>
      <c r="Y1108">
        <v>1.491828784790423</v>
      </c>
      <c r="Z1108">
        <v>3.788267364725471</v>
      </c>
      <c r="AA1108">
        <v>3.169014084507042</v>
      </c>
      <c r="AB1108">
        <v>0.37175851970558738</v>
      </c>
    </row>
    <row r="1109" spans="1:28" x14ac:dyDescent="0.25">
      <c r="A1109">
        <v>5</v>
      </c>
      <c r="B1109">
        <v>28</v>
      </c>
      <c r="C1109">
        <v>11</v>
      </c>
      <c r="D1109">
        <v>3063</v>
      </c>
      <c r="E1109">
        <v>33</v>
      </c>
      <c r="F1109">
        <v>10</v>
      </c>
      <c r="G1109">
        <v>8.3704376490786672</v>
      </c>
      <c r="H1109" t="s">
        <v>701</v>
      </c>
      <c r="I1109" t="s">
        <v>29</v>
      </c>
      <c r="J1109">
        <v>0</v>
      </c>
      <c r="K1109">
        <v>52</v>
      </c>
      <c r="L1109" t="s">
        <v>689</v>
      </c>
      <c r="M1109">
        <v>1605</v>
      </c>
      <c r="N1109">
        <v>4.1529347822070122</v>
      </c>
      <c r="O1109">
        <v>9.1247133808210492</v>
      </c>
      <c r="P1109">
        <v>4.3502405965700746</v>
      </c>
      <c r="Q1109">
        <v>14.39137370698154</v>
      </c>
      <c r="R1109">
        <v>0</v>
      </c>
      <c r="S1109" t="s">
        <v>690</v>
      </c>
      <c r="T1109">
        <v>2021</v>
      </c>
      <c r="U1109" s="1">
        <v>45901.600802198707</v>
      </c>
      <c r="V1109" t="s">
        <v>32</v>
      </c>
      <c r="W1109" t="s">
        <v>138</v>
      </c>
      <c r="X1109">
        <v>1.205517317740693</v>
      </c>
      <c r="Y1109">
        <v>1.194680662975931</v>
      </c>
      <c r="Z1109">
        <v>1.875286619178951</v>
      </c>
      <c r="AA1109">
        <v>2.91588785046729</v>
      </c>
      <c r="AB1109">
        <v>0.51166617088716171</v>
      </c>
    </row>
    <row r="1110" spans="1:28" x14ac:dyDescent="0.25">
      <c r="A1110">
        <v>2</v>
      </c>
      <c r="B1110">
        <v>28</v>
      </c>
      <c r="C1110">
        <v>10</v>
      </c>
      <c r="D1110">
        <v>5483</v>
      </c>
      <c r="E1110">
        <v>29</v>
      </c>
      <c r="F1110">
        <v>10</v>
      </c>
      <c r="G1110">
        <v>7.1236063549295068</v>
      </c>
      <c r="H1110" t="s">
        <v>736</v>
      </c>
      <c r="I1110" t="s">
        <v>49</v>
      </c>
      <c r="J1110">
        <v>1</v>
      </c>
      <c r="K1110">
        <v>80</v>
      </c>
      <c r="L1110" t="s">
        <v>737</v>
      </c>
      <c r="M1110">
        <v>2325</v>
      </c>
      <c r="N1110">
        <v>1.8506044335663321</v>
      </c>
      <c r="O1110">
        <v>7.8778813565149903</v>
      </c>
      <c r="P1110">
        <v>3.09193398617208</v>
      </c>
      <c r="Q1110">
        <v>9.8986823521554488</v>
      </c>
      <c r="R1110">
        <v>5</v>
      </c>
      <c r="S1110" t="s">
        <v>690</v>
      </c>
      <c r="T1110">
        <v>2021</v>
      </c>
      <c r="U1110" s="1">
        <v>45901.600802198707</v>
      </c>
      <c r="V1110" t="s">
        <v>32</v>
      </c>
      <c r="W1110" t="s">
        <v>138</v>
      </c>
      <c r="X1110">
        <v>1.2693768219459181</v>
      </c>
      <c r="Y1110">
        <v>1.4037833509820541</v>
      </c>
      <c r="Z1110">
        <v>2.1221186434850101</v>
      </c>
      <c r="AA1110">
        <v>3.096774193548387</v>
      </c>
      <c r="AB1110">
        <v>0.30495024605864479</v>
      </c>
    </row>
    <row r="1111" spans="1:28" x14ac:dyDescent="0.25">
      <c r="A1111">
        <v>6</v>
      </c>
      <c r="B1111">
        <v>29</v>
      </c>
      <c r="C1111">
        <v>10</v>
      </c>
      <c r="D1111">
        <v>9590</v>
      </c>
      <c r="E1111">
        <v>26</v>
      </c>
      <c r="F1111">
        <v>8</v>
      </c>
      <c r="G1111">
        <v>8.9930329415947199</v>
      </c>
      <c r="H1111" t="s">
        <v>738</v>
      </c>
      <c r="I1111" t="s">
        <v>29</v>
      </c>
      <c r="J1111">
        <v>0</v>
      </c>
      <c r="K1111">
        <v>61</v>
      </c>
      <c r="L1111" t="s">
        <v>739</v>
      </c>
      <c r="M1111">
        <v>2086</v>
      </c>
      <c r="N1111">
        <v>3.7493808846920729</v>
      </c>
      <c r="O1111">
        <v>10.50158599950373</v>
      </c>
      <c r="P1111">
        <v>3.5015802513808012</v>
      </c>
      <c r="Q1111">
        <v>14.847748577594761</v>
      </c>
      <c r="R1111">
        <v>2</v>
      </c>
      <c r="S1111" t="s">
        <v>690</v>
      </c>
      <c r="T1111">
        <v>2021</v>
      </c>
      <c r="U1111" s="1">
        <v>45901.600802198707</v>
      </c>
      <c r="V1111" t="s">
        <v>32</v>
      </c>
      <c r="W1111" t="s">
        <v>138</v>
      </c>
      <c r="X1111">
        <v>0.95223711927632315</v>
      </c>
      <c r="Y1111">
        <v>0.88957752650924604</v>
      </c>
      <c r="Z1111">
        <v>-0.50158599950373173</v>
      </c>
      <c r="AA1111">
        <v>2.63183125599233</v>
      </c>
      <c r="AB1111">
        <v>0.4530885618194323</v>
      </c>
    </row>
    <row r="1112" spans="1:28" x14ac:dyDescent="0.25">
      <c r="A1112">
        <v>7</v>
      </c>
      <c r="B1112">
        <v>27</v>
      </c>
      <c r="C1112">
        <v>23</v>
      </c>
      <c r="D1112">
        <v>3262</v>
      </c>
      <c r="E1112">
        <v>61</v>
      </c>
      <c r="F1112">
        <v>21</v>
      </c>
      <c r="G1112">
        <v>13.09909629821777</v>
      </c>
      <c r="H1112" t="s">
        <v>625</v>
      </c>
      <c r="I1112" t="s">
        <v>49</v>
      </c>
      <c r="J1112">
        <v>0</v>
      </c>
      <c r="K1112">
        <v>104</v>
      </c>
      <c r="L1112" t="s">
        <v>689</v>
      </c>
      <c r="M1112">
        <v>2363</v>
      </c>
      <c r="N1112">
        <v>5.8384946212172508</v>
      </c>
      <c r="O1112">
        <v>14.6076470464468</v>
      </c>
      <c r="P1112">
        <v>8.2843390479683876</v>
      </c>
      <c r="Q1112">
        <v>23.721276596188549</v>
      </c>
      <c r="R1112">
        <v>1</v>
      </c>
      <c r="S1112" t="s">
        <v>690</v>
      </c>
      <c r="T1112">
        <v>2022</v>
      </c>
      <c r="U1112" s="1">
        <v>45901.600802198707</v>
      </c>
      <c r="V1112" t="s">
        <v>32</v>
      </c>
      <c r="W1112" t="s">
        <v>152</v>
      </c>
      <c r="X1112">
        <v>1.574517780096184</v>
      </c>
      <c r="Y1112">
        <v>1.603164029174837</v>
      </c>
      <c r="Z1112">
        <v>8.3923529535531998</v>
      </c>
      <c r="AA1112">
        <v>3.961066440964875</v>
      </c>
      <c r="AB1112">
        <v>0.55636404324173172</v>
      </c>
    </row>
    <row r="1113" spans="1:28" x14ac:dyDescent="0.25">
      <c r="A1113">
        <v>7</v>
      </c>
      <c r="B1113">
        <v>27</v>
      </c>
      <c r="C1113">
        <v>20</v>
      </c>
      <c r="D1113">
        <v>2815</v>
      </c>
      <c r="E1113">
        <v>85</v>
      </c>
      <c r="F1113">
        <v>17</v>
      </c>
      <c r="G1113">
        <v>12.37547989189625</v>
      </c>
      <c r="H1113" t="s">
        <v>691</v>
      </c>
      <c r="I1113" t="s">
        <v>35</v>
      </c>
      <c r="J1113">
        <v>0</v>
      </c>
      <c r="K1113">
        <v>101</v>
      </c>
      <c r="L1113" t="s">
        <v>692</v>
      </c>
      <c r="M1113">
        <v>2298</v>
      </c>
      <c r="N1113">
        <v>8.1436443254351616</v>
      </c>
      <c r="O1113">
        <v>16.901128359138969</v>
      </c>
      <c r="P1113">
        <v>7.6345792273059487</v>
      </c>
      <c r="Q1113">
        <v>23.065868765115731</v>
      </c>
      <c r="R1113">
        <v>6</v>
      </c>
      <c r="S1113" t="s">
        <v>690</v>
      </c>
      <c r="T1113">
        <v>2022</v>
      </c>
      <c r="U1113" s="1">
        <v>45901.600802198707</v>
      </c>
      <c r="V1113" t="s">
        <v>32</v>
      </c>
      <c r="W1113" t="s">
        <v>152</v>
      </c>
      <c r="X1113">
        <v>1.183352943958051</v>
      </c>
      <c r="Y1113">
        <v>1.373684103444909</v>
      </c>
      <c r="Z1113">
        <v>3.0988716408610339</v>
      </c>
      <c r="AA1113">
        <v>3.9556135770234988</v>
      </c>
      <c r="AB1113">
        <v>0.66192408717254436</v>
      </c>
    </row>
    <row r="1114" spans="1:28" x14ac:dyDescent="0.25">
      <c r="A1114">
        <v>5</v>
      </c>
      <c r="B1114">
        <v>30</v>
      </c>
      <c r="C1114">
        <v>19</v>
      </c>
      <c r="D1114">
        <v>5454</v>
      </c>
      <c r="E1114">
        <v>49</v>
      </c>
      <c r="F1114">
        <v>13</v>
      </c>
      <c r="G1114">
        <v>13.316705284640189</v>
      </c>
      <c r="H1114" t="s">
        <v>713</v>
      </c>
      <c r="I1114" t="s">
        <v>35</v>
      </c>
      <c r="J1114">
        <v>0</v>
      </c>
      <c r="K1114">
        <v>94</v>
      </c>
      <c r="L1114" t="s">
        <v>696</v>
      </c>
      <c r="M1114">
        <v>2341</v>
      </c>
      <c r="N1114">
        <v>6.7568322122097024</v>
      </c>
      <c r="O1114">
        <v>17.84235694073141</v>
      </c>
      <c r="P1114">
        <v>4.9102001432329416</v>
      </c>
      <c r="Q1114">
        <v>22.289510276168581</v>
      </c>
      <c r="R1114">
        <v>2</v>
      </c>
      <c r="S1114" t="s">
        <v>690</v>
      </c>
      <c r="T1114">
        <v>2022</v>
      </c>
      <c r="U1114" s="1">
        <v>45901.600802198707</v>
      </c>
      <c r="V1114" t="s">
        <v>32</v>
      </c>
      <c r="W1114" t="s">
        <v>152</v>
      </c>
      <c r="X1114">
        <v>1.0648817341292991</v>
      </c>
      <c r="Y1114">
        <v>0.97621744433996849</v>
      </c>
      <c r="Z1114">
        <v>1.157643059268594</v>
      </c>
      <c r="AA1114">
        <v>3.613840239214011</v>
      </c>
      <c r="AB1114">
        <v>0.68595135611526126</v>
      </c>
    </row>
    <row r="1115" spans="1:28" x14ac:dyDescent="0.25">
      <c r="A1115">
        <v>5</v>
      </c>
      <c r="B1115">
        <v>23</v>
      </c>
      <c r="C1115">
        <v>14</v>
      </c>
      <c r="D1115">
        <v>48</v>
      </c>
      <c r="E1115">
        <v>22</v>
      </c>
      <c r="F1115">
        <v>14</v>
      </c>
      <c r="G1115">
        <v>10.083953893743461</v>
      </c>
      <c r="H1115" t="s">
        <v>391</v>
      </c>
      <c r="I1115" t="s">
        <v>29</v>
      </c>
      <c r="J1115">
        <v>0</v>
      </c>
      <c r="K1115">
        <v>67</v>
      </c>
      <c r="L1115" t="s">
        <v>700</v>
      </c>
      <c r="M1115">
        <v>1858</v>
      </c>
      <c r="N1115">
        <v>2.8002851717174049</v>
      </c>
      <c r="O1115">
        <v>10.838227874599401</v>
      </c>
      <c r="P1115">
        <v>3.730962779372931</v>
      </c>
      <c r="Q1115">
        <v>15.03993911296129</v>
      </c>
      <c r="R1115">
        <v>7</v>
      </c>
      <c r="S1115" t="s">
        <v>690</v>
      </c>
      <c r="T1115">
        <v>2022</v>
      </c>
      <c r="U1115" s="1">
        <v>45901.600802198707</v>
      </c>
      <c r="V1115" t="s">
        <v>32</v>
      </c>
      <c r="W1115" t="s">
        <v>152</v>
      </c>
      <c r="X1115">
        <v>1.291724086445033</v>
      </c>
      <c r="Y1115">
        <v>1.388344308940785</v>
      </c>
      <c r="Z1115">
        <v>3.161772125400605</v>
      </c>
      <c r="AA1115">
        <v>3.2454251883745959</v>
      </c>
      <c r="AB1115">
        <v>0.52499489166520208</v>
      </c>
    </row>
    <row r="1116" spans="1:28" x14ac:dyDescent="0.25">
      <c r="A1116">
        <v>2</v>
      </c>
      <c r="B1116">
        <v>26</v>
      </c>
      <c r="C1116">
        <v>14</v>
      </c>
      <c r="D1116">
        <v>10636</v>
      </c>
      <c r="E1116">
        <v>23</v>
      </c>
      <c r="F1116">
        <v>13</v>
      </c>
      <c r="G1116">
        <v>9.093761770054698</v>
      </c>
      <c r="H1116" t="s">
        <v>740</v>
      </c>
      <c r="I1116" t="s">
        <v>35</v>
      </c>
      <c r="J1116">
        <v>1</v>
      </c>
      <c r="K1116">
        <v>75</v>
      </c>
      <c r="L1116" t="s">
        <v>741</v>
      </c>
      <c r="M1116">
        <v>1804</v>
      </c>
      <c r="N1116">
        <v>2.8026795815676451</v>
      </c>
      <c r="O1116">
        <v>9.8480367939919233</v>
      </c>
      <c r="P1116">
        <v>1.9913279321044679</v>
      </c>
      <c r="Q1116">
        <v>10.255659104324881</v>
      </c>
      <c r="R1116">
        <v>4</v>
      </c>
      <c r="S1116" t="s">
        <v>690</v>
      </c>
      <c r="T1116">
        <v>2022</v>
      </c>
      <c r="U1116" s="1">
        <v>45901.600802198707</v>
      </c>
      <c r="V1116" t="s">
        <v>32</v>
      </c>
      <c r="W1116" t="s">
        <v>152</v>
      </c>
      <c r="X1116">
        <v>1.4216031370375359</v>
      </c>
      <c r="Y1116">
        <v>1.429551414334203</v>
      </c>
      <c r="Z1116">
        <v>4.1519632060080767</v>
      </c>
      <c r="AA1116">
        <v>3.741685144124169</v>
      </c>
      <c r="AB1116">
        <v>0.49131003961157038</v>
      </c>
    </row>
    <row r="1117" spans="1:28" x14ac:dyDescent="0.25">
      <c r="A1117">
        <v>6</v>
      </c>
      <c r="B1117">
        <v>26</v>
      </c>
      <c r="C1117">
        <v>13</v>
      </c>
      <c r="D1117">
        <v>5397</v>
      </c>
      <c r="E1117">
        <v>35</v>
      </c>
      <c r="F1117">
        <v>11</v>
      </c>
      <c r="G1117">
        <v>10.42511741444468</v>
      </c>
      <c r="H1117" t="s">
        <v>722</v>
      </c>
      <c r="I1117" t="s">
        <v>29</v>
      </c>
      <c r="J1117">
        <v>1</v>
      </c>
      <c r="K1117">
        <v>85</v>
      </c>
      <c r="L1117" t="s">
        <v>692</v>
      </c>
      <c r="M1117">
        <v>2035</v>
      </c>
      <c r="N1117">
        <v>4.562661174684763</v>
      </c>
      <c r="O1117">
        <v>11.93366469070315</v>
      </c>
      <c r="P1117">
        <v>5.7182659730315208</v>
      </c>
      <c r="Q1117">
        <v>17.993637919425961</v>
      </c>
      <c r="R1117">
        <v>10</v>
      </c>
      <c r="S1117" t="s">
        <v>690</v>
      </c>
      <c r="T1117">
        <v>2022</v>
      </c>
      <c r="U1117" s="1">
        <v>45901.600802198707</v>
      </c>
      <c r="V1117" t="s">
        <v>32</v>
      </c>
      <c r="W1117" t="s">
        <v>152</v>
      </c>
      <c r="X1117">
        <v>1.089355226322688</v>
      </c>
      <c r="Y1117">
        <v>1.055143991448843</v>
      </c>
      <c r="Z1117">
        <v>1.0663353092968459</v>
      </c>
      <c r="AA1117">
        <v>3.7592137592137589</v>
      </c>
      <c r="AB1117">
        <v>0.52777878238982001</v>
      </c>
    </row>
    <row r="1118" spans="1:28" x14ac:dyDescent="0.25">
      <c r="A1118">
        <v>1</v>
      </c>
      <c r="B1118">
        <v>24</v>
      </c>
      <c r="C1118">
        <v>11</v>
      </c>
      <c r="D1118">
        <v>5417</v>
      </c>
      <c r="E1118">
        <v>13</v>
      </c>
      <c r="F1118">
        <v>11</v>
      </c>
      <c r="G1118">
        <v>6.5515773594379434</v>
      </c>
      <c r="H1118" t="s">
        <v>742</v>
      </c>
      <c r="I1118" t="s">
        <v>29</v>
      </c>
      <c r="J1118">
        <v>1</v>
      </c>
      <c r="K1118">
        <v>45</v>
      </c>
      <c r="L1118" t="s">
        <v>743</v>
      </c>
      <c r="M1118">
        <v>1373</v>
      </c>
      <c r="N1118">
        <v>1.215325903147459</v>
      </c>
      <c r="O1118">
        <v>6.5515773594379434</v>
      </c>
      <c r="P1118">
        <v>1.9243341730907559</v>
      </c>
      <c r="Q1118">
        <v>8.7360575683414936</v>
      </c>
      <c r="R1118">
        <v>2</v>
      </c>
      <c r="S1118" t="s">
        <v>690</v>
      </c>
      <c r="T1118">
        <v>2022</v>
      </c>
      <c r="U1118" s="1">
        <v>45901.600802198707</v>
      </c>
      <c r="V1118" t="s">
        <v>32</v>
      </c>
      <c r="W1118" t="s">
        <v>152</v>
      </c>
      <c r="X1118">
        <v>1.67898498277729</v>
      </c>
      <c r="Y1118">
        <v>1.67898498277729</v>
      </c>
      <c r="Z1118">
        <v>4.4484226405620566</v>
      </c>
      <c r="AA1118">
        <v>2.9497450837581942</v>
      </c>
      <c r="AB1118">
        <v>0.4294551801525236</v>
      </c>
    </row>
    <row r="1119" spans="1:28" x14ac:dyDescent="0.25">
      <c r="A1119">
        <v>2</v>
      </c>
      <c r="B1119">
        <v>24</v>
      </c>
      <c r="C1119">
        <v>10</v>
      </c>
      <c r="D1119">
        <v>2925</v>
      </c>
      <c r="E1119">
        <v>35</v>
      </c>
      <c r="F1119">
        <v>4</v>
      </c>
      <c r="G1119">
        <v>5.5246223267167807</v>
      </c>
      <c r="H1119" t="s">
        <v>699</v>
      </c>
      <c r="I1119" t="s">
        <v>29</v>
      </c>
      <c r="J1119">
        <v>0</v>
      </c>
      <c r="K1119">
        <v>60</v>
      </c>
      <c r="L1119" t="s">
        <v>694</v>
      </c>
      <c r="M1119">
        <v>1787</v>
      </c>
      <c r="N1119">
        <v>3.1275807656347752</v>
      </c>
      <c r="O1119">
        <v>10.80455846339464</v>
      </c>
      <c r="P1119">
        <v>3.4745398173108701</v>
      </c>
      <c r="Q1119">
        <v>11.55456303060055</v>
      </c>
      <c r="R1119">
        <v>3</v>
      </c>
      <c r="S1119" t="s">
        <v>690</v>
      </c>
      <c r="T1119">
        <v>2022</v>
      </c>
      <c r="U1119" s="1">
        <v>45901.600802198707</v>
      </c>
      <c r="V1119" t="s">
        <v>32</v>
      </c>
      <c r="W1119" t="s">
        <v>152</v>
      </c>
      <c r="X1119">
        <v>0.92553527604848917</v>
      </c>
      <c r="Y1119">
        <v>0.72403139317889875</v>
      </c>
      <c r="Z1119">
        <v>-0.80455846339464188</v>
      </c>
      <c r="AA1119">
        <v>3.0218242865137102</v>
      </c>
      <c r="AB1119">
        <v>0.5441579528290531</v>
      </c>
    </row>
    <row r="1120" spans="1:28" x14ac:dyDescent="0.25">
      <c r="A1120">
        <v>6</v>
      </c>
      <c r="B1120">
        <v>26</v>
      </c>
      <c r="C1120">
        <v>10</v>
      </c>
      <c r="D1120">
        <v>3015</v>
      </c>
      <c r="E1120">
        <v>30</v>
      </c>
      <c r="F1120">
        <v>9</v>
      </c>
      <c r="G1120">
        <v>5.2989013139158487</v>
      </c>
      <c r="H1120" t="s">
        <v>744</v>
      </c>
      <c r="I1120" t="s">
        <v>32</v>
      </c>
      <c r="J1120">
        <v>0</v>
      </c>
      <c r="K1120">
        <v>41</v>
      </c>
      <c r="L1120" t="s">
        <v>726</v>
      </c>
      <c r="M1120">
        <v>2175</v>
      </c>
      <c r="N1120">
        <v>2.9543990362435579</v>
      </c>
      <c r="O1120">
        <v>6.8074496164917946</v>
      </c>
      <c r="P1120">
        <v>2.53623485006392</v>
      </c>
      <c r="Q1120">
        <v>8.6527288444340229</v>
      </c>
      <c r="R1120">
        <v>4</v>
      </c>
      <c r="S1120" t="s">
        <v>690</v>
      </c>
      <c r="T1120">
        <v>2022</v>
      </c>
      <c r="U1120" s="1">
        <v>45901.600802198707</v>
      </c>
      <c r="V1120" t="s">
        <v>32</v>
      </c>
      <c r="W1120" t="s">
        <v>152</v>
      </c>
      <c r="X1120">
        <v>1.468978922117014</v>
      </c>
      <c r="Y1120">
        <v>1.698465298148583</v>
      </c>
      <c r="Z1120">
        <v>3.192550383508205</v>
      </c>
      <c r="AA1120">
        <v>1.6965517241379311</v>
      </c>
      <c r="AB1120">
        <v>0.28168757033759151</v>
      </c>
    </row>
    <row r="1121" spans="1:28" x14ac:dyDescent="0.25">
      <c r="A1121">
        <v>8</v>
      </c>
      <c r="B1121">
        <v>29</v>
      </c>
      <c r="C1121">
        <v>10</v>
      </c>
      <c r="D1121">
        <v>7477</v>
      </c>
      <c r="E1121">
        <v>51</v>
      </c>
      <c r="F1121">
        <v>10</v>
      </c>
      <c r="G1121">
        <v>9.5286348992958665</v>
      </c>
      <c r="H1121" t="s">
        <v>745</v>
      </c>
      <c r="I1121" t="s">
        <v>35</v>
      </c>
      <c r="J1121">
        <v>0</v>
      </c>
      <c r="K1121">
        <v>84</v>
      </c>
      <c r="L1121" t="s">
        <v>746</v>
      </c>
      <c r="M1121">
        <v>2162</v>
      </c>
      <c r="N1121">
        <v>7.6933051235973826</v>
      </c>
      <c r="O1121">
        <v>11.037187927402559</v>
      </c>
      <c r="P1121">
        <v>5.6738574523478746</v>
      </c>
      <c r="Q1121">
        <v>19.866613160818812</v>
      </c>
      <c r="R1121">
        <v>5</v>
      </c>
      <c r="S1121" t="s">
        <v>690</v>
      </c>
      <c r="T1121">
        <v>2022</v>
      </c>
      <c r="U1121" s="1">
        <v>45901.600802198707</v>
      </c>
      <c r="V1121" t="s">
        <v>32</v>
      </c>
      <c r="W1121" t="s">
        <v>152</v>
      </c>
      <c r="X1121">
        <v>0.90602788190029093</v>
      </c>
      <c r="Y1121">
        <v>1.049468271760414</v>
      </c>
      <c r="Z1121">
        <v>-1.0371879274025559</v>
      </c>
      <c r="AA1121">
        <v>3.496762257169288</v>
      </c>
      <c r="AB1121">
        <v>0.45945740678364022</v>
      </c>
    </row>
    <row r="1122" spans="1:28" x14ac:dyDescent="0.25">
      <c r="A1122">
        <v>1</v>
      </c>
      <c r="B1122">
        <v>28</v>
      </c>
      <c r="C1122">
        <v>10</v>
      </c>
      <c r="D1122">
        <v>7761</v>
      </c>
      <c r="E1122">
        <v>11</v>
      </c>
      <c r="F1122">
        <v>7</v>
      </c>
      <c r="G1122">
        <v>4.5779809332452723</v>
      </c>
      <c r="H1122" t="s">
        <v>747</v>
      </c>
      <c r="I1122" t="s">
        <v>35</v>
      </c>
      <c r="J1122">
        <v>1</v>
      </c>
      <c r="K1122">
        <v>50</v>
      </c>
      <c r="L1122" t="s">
        <v>748</v>
      </c>
      <c r="M1122">
        <v>1813</v>
      </c>
      <c r="N1122">
        <v>0.57350119389593601</v>
      </c>
      <c r="O1122">
        <v>6.8408071543090054</v>
      </c>
      <c r="P1122">
        <v>1.1122931865975261</v>
      </c>
      <c r="Q1122">
        <v>6.0878184526227406</v>
      </c>
      <c r="R1122">
        <v>4</v>
      </c>
      <c r="S1122" t="s">
        <v>690</v>
      </c>
      <c r="T1122">
        <v>2022</v>
      </c>
      <c r="U1122" s="1">
        <v>45901.600802198707</v>
      </c>
      <c r="V1122" t="s">
        <v>32</v>
      </c>
      <c r="W1122" t="s">
        <v>152</v>
      </c>
      <c r="X1122">
        <v>1.461815802496498</v>
      </c>
      <c r="Y1122">
        <v>1.529058356090135</v>
      </c>
      <c r="Z1122">
        <v>3.159192845690995</v>
      </c>
      <c r="AA1122">
        <v>2.4820739106453389</v>
      </c>
      <c r="AB1122">
        <v>0.33958777930932732</v>
      </c>
    </row>
    <row r="1123" spans="1:28" x14ac:dyDescent="0.25">
      <c r="A1123">
        <v>4</v>
      </c>
      <c r="B1123">
        <v>26</v>
      </c>
      <c r="C1123">
        <v>10</v>
      </c>
      <c r="D1123">
        <v>9590</v>
      </c>
      <c r="E1123">
        <v>15</v>
      </c>
      <c r="F1123">
        <v>10</v>
      </c>
      <c r="G1123">
        <v>8.8152621984481812</v>
      </c>
      <c r="H1123" t="s">
        <v>738</v>
      </c>
      <c r="I1123" t="s">
        <v>35</v>
      </c>
      <c r="J1123">
        <v>0</v>
      </c>
      <c r="K1123">
        <v>37</v>
      </c>
      <c r="L1123" t="s">
        <v>689</v>
      </c>
      <c r="M1123">
        <v>1188</v>
      </c>
      <c r="N1123">
        <v>2.1738639362156391</v>
      </c>
      <c r="O1123">
        <v>8.8152621984481812</v>
      </c>
      <c r="P1123">
        <v>2.2623552596196528</v>
      </c>
      <c r="Q1123">
        <v>12.843780252151189</v>
      </c>
      <c r="R1123">
        <v>0</v>
      </c>
      <c r="S1123" t="s">
        <v>690</v>
      </c>
      <c r="T1123">
        <v>2022</v>
      </c>
      <c r="U1123" s="1">
        <v>45901.600802198707</v>
      </c>
      <c r="V1123" t="s">
        <v>32</v>
      </c>
      <c r="W1123" t="s">
        <v>152</v>
      </c>
      <c r="X1123">
        <v>1.1343962068150819</v>
      </c>
      <c r="Y1123">
        <v>1.1343962068150819</v>
      </c>
      <c r="Z1123">
        <v>1.1847378015518191</v>
      </c>
      <c r="AA1123">
        <v>2.8030303030303032</v>
      </c>
      <c r="AB1123">
        <v>0.66782289382183191</v>
      </c>
    </row>
    <row r="1124" spans="1:28" x14ac:dyDescent="0.25">
      <c r="A1124">
        <v>4</v>
      </c>
      <c r="B1124">
        <v>28</v>
      </c>
      <c r="C1124">
        <v>21</v>
      </c>
      <c r="D1124">
        <v>9988</v>
      </c>
      <c r="E1124">
        <v>26</v>
      </c>
      <c r="F1124">
        <v>21</v>
      </c>
      <c r="G1124">
        <v>13.82548012584448</v>
      </c>
      <c r="H1124" t="s">
        <v>734</v>
      </c>
      <c r="I1124" t="s">
        <v>35</v>
      </c>
      <c r="J1124">
        <v>0</v>
      </c>
      <c r="K1124">
        <v>62</v>
      </c>
      <c r="L1124" t="s">
        <v>689</v>
      </c>
      <c r="M1124">
        <v>2333</v>
      </c>
      <c r="N1124">
        <v>2.7175366654992099</v>
      </c>
      <c r="O1124">
        <v>13.82548012584448</v>
      </c>
      <c r="P1124">
        <v>5.9999617617577314</v>
      </c>
      <c r="Q1124">
        <v>20.417570896446701</v>
      </c>
      <c r="R1124">
        <v>2</v>
      </c>
      <c r="S1124" t="s">
        <v>690</v>
      </c>
      <c r="T1124">
        <v>2023</v>
      </c>
      <c r="U1124" s="1">
        <v>45901.600802198707</v>
      </c>
      <c r="V1124" t="s">
        <v>32</v>
      </c>
      <c r="W1124" t="s">
        <v>162</v>
      </c>
      <c r="X1124">
        <v>1.5189345909762599</v>
      </c>
      <c r="Y1124">
        <v>1.5189345909762599</v>
      </c>
      <c r="Z1124">
        <v>7.1745198741555196</v>
      </c>
      <c r="AA1124">
        <v>2.3917702528932701</v>
      </c>
      <c r="AB1124">
        <v>0.53334471124132155</v>
      </c>
    </row>
    <row r="1125" spans="1:28" x14ac:dyDescent="0.25">
      <c r="A1125">
        <v>9</v>
      </c>
      <c r="B1125">
        <v>30</v>
      </c>
      <c r="C1125">
        <v>15</v>
      </c>
      <c r="D1125">
        <v>9049</v>
      </c>
      <c r="E1125">
        <v>33</v>
      </c>
      <c r="F1125">
        <v>15</v>
      </c>
      <c r="G1125">
        <v>15.06599059328437</v>
      </c>
      <c r="H1125" t="s">
        <v>749</v>
      </c>
      <c r="I1125" t="s">
        <v>29</v>
      </c>
      <c r="J1125">
        <v>0</v>
      </c>
      <c r="K1125">
        <v>77</v>
      </c>
      <c r="L1125" t="s">
        <v>694</v>
      </c>
      <c r="M1125">
        <v>2382</v>
      </c>
      <c r="N1125">
        <v>4.0621403735131034</v>
      </c>
      <c r="O1125">
        <v>15.06599059328437</v>
      </c>
      <c r="P1125">
        <v>2.6176766529679298</v>
      </c>
      <c r="Q1125">
        <v>20.38932254165411</v>
      </c>
      <c r="R1125">
        <v>0</v>
      </c>
      <c r="S1125" t="s">
        <v>690</v>
      </c>
      <c r="T1125">
        <v>2023</v>
      </c>
      <c r="U1125" s="1">
        <v>45901.600802198707</v>
      </c>
      <c r="V1125" t="s">
        <v>32</v>
      </c>
      <c r="W1125" t="s">
        <v>162</v>
      </c>
      <c r="X1125">
        <v>0.99561989682153496</v>
      </c>
      <c r="Y1125">
        <v>0.99561989682153496</v>
      </c>
      <c r="Z1125">
        <v>-6.5990593284368515E-2</v>
      </c>
      <c r="AA1125">
        <v>2.9093198992443332</v>
      </c>
      <c r="AB1125">
        <v>0.56924397707623553</v>
      </c>
    </row>
    <row r="1126" spans="1:28" x14ac:dyDescent="0.25">
      <c r="A1126">
        <v>3</v>
      </c>
      <c r="B1126">
        <v>27</v>
      </c>
      <c r="C1126">
        <v>14</v>
      </c>
      <c r="D1126">
        <v>48</v>
      </c>
      <c r="E1126">
        <v>29</v>
      </c>
      <c r="F1126">
        <v>14</v>
      </c>
      <c r="G1126">
        <v>15.17711877822876</v>
      </c>
      <c r="H1126" t="s">
        <v>391</v>
      </c>
      <c r="I1126" t="s">
        <v>32</v>
      </c>
      <c r="J1126">
        <v>0</v>
      </c>
      <c r="K1126">
        <v>76</v>
      </c>
      <c r="L1126" t="s">
        <v>700</v>
      </c>
      <c r="M1126">
        <v>2423</v>
      </c>
      <c r="N1126">
        <v>3.2971840407699351</v>
      </c>
      <c r="O1126">
        <v>15.93139411509037</v>
      </c>
      <c r="P1126">
        <v>3.4054114865139131</v>
      </c>
      <c r="Q1126">
        <v>19.51750124245882</v>
      </c>
      <c r="R1126">
        <v>3</v>
      </c>
      <c r="S1126" t="s">
        <v>690</v>
      </c>
      <c r="T1126">
        <v>2023</v>
      </c>
      <c r="U1126" s="1">
        <v>45901.600802198707</v>
      </c>
      <c r="V1126" t="s">
        <v>32</v>
      </c>
      <c r="W1126" t="s">
        <v>162</v>
      </c>
      <c r="X1126">
        <v>0.87876804119352403</v>
      </c>
      <c r="Y1126">
        <v>0.92244122251205474</v>
      </c>
      <c r="Z1126">
        <v>-1.93139411509037</v>
      </c>
      <c r="AA1126">
        <v>2.8229467602146099</v>
      </c>
      <c r="AB1126">
        <v>0.59175628161705873</v>
      </c>
    </row>
    <row r="1127" spans="1:28" x14ac:dyDescent="0.25">
      <c r="A1127">
        <v>3</v>
      </c>
      <c r="B1127">
        <v>29</v>
      </c>
      <c r="C1127">
        <v>13</v>
      </c>
      <c r="D1127">
        <v>5454</v>
      </c>
      <c r="E1127">
        <v>44</v>
      </c>
      <c r="F1127">
        <v>6</v>
      </c>
      <c r="G1127">
        <v>5.0942752882838249</v>
      </c>
      <c r="H1127" t="s">
        <v>713</v>
      </c>
      <c r="I1127" t="s">
        <v>35</v>
      </c>
      <c r="J1127">
        <v>0</v>
      </c>
      <c r="K1127">
        <v>49</v>
      </c>
      <c r="L1127" t="s">
        <v>696</v>
      </c>
      <c r="M1127">
        <v>2073</v>
      </c>
      <c r="N1127">
        <v>4.2299021668732166</v>
      </c>
      <c r="O1127">
        <v>10.37420252710581</v>
      </c>
      <c r="P1127">
        <v>4.110142657533288</v>
      </c>
      <c r="Q1127">
        <v>12.62152197398245</v>
      </c>
      <c r="R1127">
        <v>3</v>
      </c>
      <c r="S1127" t="s">
        <v>690</v>
      </c>
      <c r="T1127">
        <v>2023</v>
      </c>
      <c r="U1127" s="1">
        <v>45901.600802198707</v>
      </c>
      <c r="V1127" t="s">
        <v>32</v>
      </c>
      <c r="W1127" t="s">
        <v>162</v>
      </c>
      <c r="X1127">
        <v>1.2531083681886379</v>
      </c>
      <c r="Y1127">
        <v>1.1777926516455099</v>
      </c>
      <c r="Z1127">
        <v>2.6257974728941922</v>
      </c>
      <c r="AA1127">
        <v>2.1273516642547041</v>
      </c>
      <c r="AB1127">
        <v>0.45039953084395701</v>
      </c>
    </row>
    <row r="1128" spans="1:28" x14ac:dyDescent="0.25">
      <c r="A1128">
        <v>1</v>
      </c>
      <c r="B1128">
        <v>29</v>
      </c>
      <c r="C1128">
        <v>11</v>
      </c>
      <c r="D1128">
        <v>5417</v>
      </c>
      <c r="E1128">
        <v>23</v>
      </c>
      <c r="F1128">
        <v>7</v>
      </c>
      <c r="G1128">
        <v>7.2791005112230778</v>
      </c>
      <c r="H1128" t="s">
        <v>742</v>
      </c>
      <c r="I1128" t="s">
        <v>29</v>
      </c>
      <c r="J1128">
        <v>0</v>
      </c>
      <c r="K1128">
        <v>77</v>
      </c>
      <c r="L1128" t="s">
        <v>743</v>
      </c>
      <c r="M1128">
        <v>1886</v>
      </c>
      <c r="N1128">
        <v>2.5371192749589682</v>
      </c>
      <c r="O1128">
        <v>10.296201709657909</v>
      </c>
      <c r="P1128">
        <v>1.760458556003869</v>
      </c>
      <c r="Q1128">
        <v>10.23055763915181</v>
      </c>
      <c r="R1128">
        <v>1</v>
      </c>
      <c r="S1128" t="s">
        <v>690</v>
      </c>
      <c r="T1128">
        <v>2023</v>
      </c>
      <c r="U1128" s="1">
        <v>45901.600802198707</v>
      </c>
      <c r="V1128" t="s">
        <v>32</v>
      </c>
      <c r="W1128" t="s">
        <v>162</v>
      </c>
      <c r="X1128">
        <v>1.0683551381556491</v>
      </c>
      <c r="Y1128">
        <v>0.96165728021027397</v>
      </c>
      <c r="Z1128">
        <v>0.70379829034209251</v>
      </c>
      <c r="AA1128">
        <v>3.6744432661717918</v>
      </c>
      <c r="AB1128">
        <v>0.49133518232725959</v>
      </c>
    </row>
    <row r="1129" spans="1:28" x14ac:dyDescent="0.25">
      <c r="A1129">
        <v>3</v>
      </c>
      <c r="B1129">
        <v>29</v>
      </c>
      <c r="C1129">
        <v>11</v>
      </c>
      <c r="D1129">
        <v>8782</v>
      </c>
      <c r="E1129">
        <v>55</v>
      </c>
      <c r="F1129">
        <v>5</v>
      </c>
      <c r="G1129">
        <v>5.1707068523392081</v>
      </c>
      <c r="H1129" t="s">
        <v>750</v>
      </c>
      <c r="I1129" t="s">
        <v>35</v>
      </c>
      <c r="J1129">
        <v>0</v>
      </c>
      <c r="K1129">
        <v>66</v>
      </c>
      <c r="L1129" t="s">
        <v>700</v>
      </c>
      <c r="M1129">
        <v>2535</v>
      </c>
      <c r="N1129">
        <v>5.1817293595522642</v>
      </c>
      <c r="O1129">
        <v>10.450634143315259</v>
      </c>
      <c r="P1129">
        <v>6.4109470946714282</v>
      </c>
      <c r="Q1129">
        <v>12.760660132393239</v>
      </c>
      <c r="R1129">
        <v>6</v>
      </c>
      <c r="S1129" t="s">
        <v>690</v>
      </c>
      <c r="T1129">
        <v>2023</v>
      </c>
      <c r="U1129" s="1">
        <v>45901.600802198707</v>
      </c>
      <c r="V1129" t="s">
        <v>32</v>
      </c>
      <c r="W1129" t="s">
        <v>162</v>
      </c>
      <c r="X1129">
        <v>1.052567705380457</v>
      </c>
      <c r="Y1129">
        <v>0.9669857802397015</v>
      </c>
      <c r="Z1129">
        <v>0.54936585668474436</v>
      </c>
      <c r="AA1129">
        <v>2.3431952662721889</v>
      </c>
      <c r="AB1129">
        <v>0.37102843112361861</v>
      </c>
    </row>
    <row r="1130" spans="1:28" x14ac:dyDescent="0.25">
      <c r="A1130">
        <v>5</v>
      </c>
      <c r="B1130">
        <v>28</v>
      </c>
      <c r="C1130">
        <v>10</v>
      </c>
      <c r="D1130">
        <v>11649</v>
      </c>
      <c r="E1130">
        <v>22</v>
      </c>
      <c r="F1130">
        <v>9</v>
      </c>
      <c r="G1130">
        <v>8.0905669899657369</v>
      </c>
      <c r="H1130" t="s">
        <v>751</v>
      </c>
      <c r="I1130" t="s">
        <v>32</v>
      </c>
      <c r="J1130">
        <v>0</v>
      </c>
      <c r="K1130">
        <v>71</v>
      </c>
      <c r="L1130" t="s">
        <v>698</v>
      </c>
      <c r="M1130">
        <v>2468</v>
      </c>
      <c r="N1130">
        <v>4.2137480797246099</v>
      </c>
      <c r="O1130">
        <v>9.5991176115348935</v>
      </c>
      <c r="P1130">
        <v>4.1913622776046404</v>
      </c>
      <c r="Q1130">
        <v>14.504358812235299</v>
      </c>
      <c r="R1130">
        <v>6</v>
      </c>
      <c r="S1130" t="s">
        <v>690</v>
      </c>
      <c r="T1130">
        <v>2023</v>
      </c>
      <c r="U1130" s="1">
        <v>45901.600802198707</v>
      </c>
      <c r="V1130" t="s">
        <v>32</v>
      </c>
      <c r="W1130" t="s">
        <v>162</v>
      </c>
      <c r="X1130">
        <v>1.041762420744109</v>
      </c>
      <c r="Y1130">
        <v>1.112406585491744</v>
      </c>
      <c r="Z1130">
        <v>0.40088238846510649</v>
      </c>
      <c r="AA1130">
        <v>2.589141004862237</v>
      </c>
      <c r="AB1130">
        <v>0.35004885941577812</v>
      </c>
    </row>
    <row r="1131" spans="1:28" x14ac:dyDescent="0.25">
      <c r="A1131">
        <v>3</v>
      </c>
      <c r="B1131">
        <v>29</v>
      </c>
      <c r="C1131">
        <v>17</v>
      </c>
      <c r="D1131">
        <v>12508</v>
      </c>
      <c r="E1131">
        <v>28</v>
      </c>
      <c r="F1131">
        <v>17</v>
      </c>
      <c r="G1131">
        <v>11.75451133772731</v>
      </c>
      <c r="H1131" t="s">
        <v>752</v>
      </c>
      <c r="I1131" t="s">
        <v>29</v>
      </c>
      <c r="J1131">
        <v>0</v>
      </c>
      <c r="K1131">
        <v>73</v>
      </c>
      <c r="L1131" t="s">
        <v>692</v>
      </c>
      <c r="M1131">
        <v>2180</v>
      </c>
      <c r="N1131">
        <v>3.4794897800311451</v>
      </c>
      <c r="O1131">
        <v>11.75451133772731</v>
      </c>
      <c r="P1131">
        <v>3.6351734409108758</v>
      </c>
      <c r="Q1131">
        <v>16.82261885330081</v>
      </c>
      <c r="R1131">
        <v>2</v>
      </c>
      <c r="S1131" t="s">
        <v>690</v>
      </c>
      <c r="T1131">
        <v>2024</v>
      </c>
      <c r="U1131" s="1">
        <v>45901.600802198707</v>
      </c>
      <c r="V1131" t="s">
        <v>32</v>
      </c>
      <c r="W1131" t="s">
        <v>182</v>
      </c>
      <c r="X1131">
        <v>1.4462532309137139</v>
      </c>
      <c r="Y1131">
        <v>1.4462532309137139</v>
      </c>
      <c r="Z1131">
        <v>5.2454886622726917</v>
      </c>
      <c r="AA1131">
        <v>3.0137614678899078</v>
      </c>
      <c r="AB1131">
        <v>0.48527799100709068</v>
      </c>
    </row>
    <row r="1132" spans="1:28" x14ac:dyDescent="0.25">
      <c r="A1132">
        <v>6</v>
      </c>
      <c r="B1132">
        <v>26</v>
      </c>
      <c r="C1132">
        <v>15</v>
      </c>
      <c r="D1132">
        <v>11649</v>
      </c>
      <c r="E1132">
        <v>27</v>
      </c>
      <c r="F1132">
        <v>12</v>
      </c>
      <c r="G1132">
        <v>8.1121138408780098</v>
      </c>
      <c r="H1132" t="s">
        <v>751</v>
      </c>
      <c r="I1132" t="s">
        <v>32</v>
      </c>
      <c r="J1132">
        <v>2</v>
      </c>
      <c r="K1132">
        <v>63</v>
      </c>
      <c r="L1132" t="s">
        <v>698</v>
      </c>
      <c r="M1132">
        <v>2320</v>
      </c>
      <c r="N1132">
        <v>3.489955641329288</v>
      </c>
      <c r="O1132">
        <v>11.883490443229681</v>
      </c>
      <c r="P1132">
        <v>2.376059148460627</v>
      </c>
      <c r="Q1132">
        <v>10.75038005132228</v>
      </c>
      <c r="R1132">
        <v>6</v>
      </c>
      <c r="S1132" t="s">
        <v>690</v>
      </c>
      <c r="T1132">
        <v>2024</v>
      </c>
      <c r="U1132" s="1">
        <v>45901.600802198707</v>
      </c>
      <c r="V1132" t="s">
        <v>32</v>
      </c>
      <c r="W1132" t="s">
        <v>182</v>
      </c>
      <c r="X1132">
        <v>1.26225540144612</v>
      </c>
      <c r="Y1132">
        <v>1.479269181299012</v>
      </c>
      <c r="Z1132">
        <v>3.1165095567703252</v>
      </c>
      <c r="AA1132">
        <v>2.443965517241379</v>
      </c>
      <c r="AB1132">
        <v>0.46099747409080633</v>
      </c>
    </row>
    <row r="1133" spans="1:28" x14ac:dyDescent="0.25">
      <c r="A1133">
        <v>7</v>
      </c>
      <c r="B1133">
        <v>29</v>
      </c>
      <c r="C1133">
        <v>14</v>
      </c>
      <c r="D1133">
        <v>12518</v>
      </c>
      <c r="E1133">
        <v>85</v>
      </c>
      <c r="F1133">
        <v>10</v>
      </c>
      <c r="G1133">
        <v>4.443911918438971</v>
      </c>
      <c r="H1133" t="s">
        <v>753</v>
      </c>
      <c r="I1133" t="s">
        <v>49</v>
      </c>
      <c r="J1133">
        <v>0</v>
      </c>
      <c r="K1133">
        <v>45</v>
      </c>
      <c r="L1133" t="s">
        <v>717</v>
      </c>
      <c r="M1133">
        <v>2565</v>
      </c>
      <c r="N1133">
        <v>7.5986784622073174</v>
      </c>
      <c r="O1133">
        <v>7.4610132360830903</v>
      </c>
      <c r="P1133">
        <v>5.7369136232882738</v>
      </c>
      <c r="Q1133">
        <v>13.75468924641609</v>
      </c>
      <c r="R1133">
        <v>6</v>
      </c>
      <c r="S1133" t="s">
        <v>690</v>
      </c>
      <c r="T1133">
        <v>2024</v>
      </c>
      <c r="U1133" s="1">
        <v>45901.600802198707</v>
      </c>
      <c r="V1133" t="s">
        <v>32</v>
      </c>
      <c r="W1133" t="s">
        <v>182</v>
      </c>
      <c r="X1133">
        <v>1.876420743002162</v>
      </c>
      <c r="Y1133">
        <v>2.2502696235961261</v>
      </c>
      <c r="Z1133">
        <v>6.5389867639169097</v>
      </c>
      <c r="AA1133">
        <v>1.5789473684210531</v>
      </c>
      <c r="AB1133">
        <v>0.26178993810817858</v>
      </c>
    </row>
    <row r="1134" spans="1:28" x14ac:dyDescent="0.25">
      <c r="A1134">
        <v>4</v>
      </c>
      <c r="B1134">
        <v>25</v>
      </c>
      <c r="C1134">
        <v>12</v>
      </c>
      <c r="D1134">
        <v>48</v>
      </c>
      <c r="E1134">
        <v>29</v>
      </c>
      <c r="F1134">
        <v>12</v>
      </c>
      <c r="G1134">
        <v>14.45332094095647</v>
      </c>
      <c r="H1134" t="s">
        <v>391</v>
      </c>
      <c r="I1134" t="s">
        <v>32</v>
      </c>
      <c r="J1134">
        <v>1</v>
      </c>
      <c r="K1134">
        <v>81</v>
      </c>
      <c r="L1134" t="s">
        <v>700</v>
      </c>
      <c r="M1134">
        <v>2224</v>
      </c>
      <c r="N1134">
        <v>4.5456109717488289</v>
      </c>
      <c r="O1134">
        <v>14.45332094095647</v>
      </c>
      <c r="P1134">
        <v>2.5347613915801048</v>
      </c>
      <c r="Q1134">
        <v>20.295794466510412</v>
      </c>
      <c r="R1134">
        <v>7</v>
      </c>
      <c r="S1134" t="s">
        <v>690</v>
      </c>
      <c r="T1134">
        <v>2024</v>
      </c>
      <c r="U1134" s="1">
        <v>45901.600802198707</v>
      </c>
      <c r="V1134" t="s">
        <v>32</v>
      </c>
      <c r="W1134" t="s">
        <v>182</v>
      </c>
      <c r="X1134">
        <v>0.8302590144522094</v>
      </c>
      <c r="Y1134">
        <v>0.8302590144522094</v>
      </c>
      <c r="Z1134">
        <v>-2.453320940956472</v>
      </c>
      <c r="AA1134">
        <v>3.2778776978417268</v>
      </c>
      <c r="AB1134">
        <v>0.58489158484086445</v>
      </c>
    </row>
    <row r="1135" spans="1:28" x14ac:dyDescent="0.25">
      <c r="A1135">
        <v>4</v>
      </c>
      <c r="B1135">
        <v>30</v>
      </c>
      <c r="C1135">
        <v>12</v>
      </c>
      <c r="D1135">
        <v>5535</v>
      </c>
      <c r="E1135">
        <v>26</v>
      </c>
      <c r="F1135">
        <v>11</v>
      </c>
      <c r="G1135">
        <v>8.1504873633384705</v>
      </c>
      <c r="H1135" t="s">
        <v>754</v>
      </c>
      <c r="I1135" t="s">
        <v>29</v>
      </c>
      <c r="J1135">
        <v>0</v>
      </c>
      <c r="K1135">
        <v>60</v>
      </c>
      <c r="L1135" t="s">
        <v>717</v>
      </c>
      <c r="M1135">
        <v>2043</v>
      </c>
      <c r="N1135">
        <v>3.2250448260456319</v>
      </c>
      <c r="O1135">
        <v>9.6590379774570483</v>
      </c>
      <c r="P1135">
        <v>1.727689182385802</v>
      </c>
      <c r="Q1135">
        <v>12.186903804540631</v>
      </c>
      <c r="R1135">
        <v>3</v>
      </c>
      <c r="S1135" t="s">
        <v>690</v>
      </c>
      <c r="T1135">
        <v>2024</v>
      </c>
      <c r="U1135" s="1">
        <v>45901.600802198707</v>
      </c>
      <c r="V1135" t="s">
        <v>32</v>
      </c>
      <c r="W1135" t="s">
        <v>182</v>
      </c>
      <c r="X1135">
        <v>1.2423597492841889</v>
      </c>
      <c r="Y1135">
        <v>1.3496125458066299</v>
      </c>
      <c r="Z1135">
        <v>2.3409620225429522</v>
      </c>
      <c r="AA1135">
        <v>2.643171806167401</v>
      </c>
      <c r="AB1135">
        <v>0.42550828094524451</v>
      </c>
    </row>
    <row r="1136" spans="1:28" x14ac:dyDescent="0.25">
      <c r="A1136">
        <v>7</v>
      </c>
      <c r="B1136">
        <v>27</v>
      </c>
      <c r="C1136">
        <v>12</v>
      </c>
      <c r="D1136">
        <v>12699</v>
      </c>
      <c r="E1136">
        <v>76</v>
      </c>
      <c r="F1136">
        <v>5</v>
      </c>
      <c r="G1136">
        <v>4.5794738447293639</v>
      </c>
      <c r="H1136" t="s">
        <v>755</v>
      </c>
      <c r="I1136" t="s">
        <v>49</v>
      </c>
      <c r="J1136">
        <v>0</v>
      </c>
      <c r="K1136">
        <v>80</v>
      </c>
      <c r="L1136" t="s">
        <v>692</v>
      </c>
      <c r="M1136">
        <v>2396</v>
      </c>
      <c r="N1136">
        <v>6.0744031351059684</v>
      </c>
      <c r="O1136">
        <v>10.613676357083021</v>
      </c>
      <c r="P1136">
        <v>11.07354585733265</v>
      </c>
      <c r="Q1136">
        <v>17.834380008280281</v>
      </c>
      <c r="R1136">
        <v>5</v>
      </c>
      <c r="S1136" t="s">
        <v>690</v>
      </c>
      <c r="T1136">
        <v>2024</v>
      </c>
      <c r="U1136" s="1">
        <v>45901.600802198707</v>
      </c>
      <c r="V1136" t="s">
        <v>32</v>
      </c>
      <c r="W1136" t="s">
        <v>182</v>
      </c>
      <c r="X1136">
        <v>1.130616724712151</v>
      </c>
      <c r="Y1136">
        <v>1.09182848718628</v>
      </c>
      <c r="Z1136">
        <v>1.3863236429169761</v>
      </c>
      <c r="AA1136">
        <v>3.005008347245409</v>
      </c>
      <c r="AB1136">
        <v>0.39867732559994667</v>
      </c>
    </row>
    <row r="1137" spans="1:28" x14ac:dyDescent="0.25">
      <c r="A1137">
        <v>6</v>
      </c>
      <c r="B1137">
        <v>28</v>
      </c>
      <c r="C1137">
        <v>11</v>
      </c>
      <c r="D1137">
        <v>8782</v>
      </c>
      <c r="E1137">
        <v>57</v>
      </c>
      <c r="F1137">
        <v>7</v>
      </c>
      <c r="G1137">
        <v>5.3790309559553862</v>
      </c>
      <c r="H1137" t="s">
        <v>750</v>
      </c>
      <c r="I1137" t="s">
        <v>35</v>
      </c>
      <c r="J1137">
        <v>0</v>
      </c>
      <c r="K1137">
        <v>61</v>
      </c>
      <c r="L1137" t="s">
        <v>700</v>
      </c>
      <c r="M1137">
        <v>2334</v>
      </c>
      <c r="N1137">
        <v>5.1398783568292856</v>
      </c>
      <c r="O1137">
        <v>9.1504075657576323</v>
      </c>
      <c r="P1137">
        <v>9.2266153786331415</v>
      </c>
      <c r="Q1137">
        <v>15.93935736268759</v>
      </c>
      <c r="R1137">
        <v>2</v>
      </c>
      <c r="S1137" t="s">
        <v>690</v>
      </c>
      <c r="T1137">
        <v>2024</v>
      </c>
      <c r="U1137" s="1">
        <v>45901.600802198707</v>
      </c>
      <c r="V1137" t="s">
        <v>32</v>
      </c>
      <c r="W1137" t="s">
        <v>182</v>
      </c>
      <c r="X1137">
        <v>1.202132246126812</v>
      </c>
      <c r="Y1137">
        <v>1.301349640356682</v>
      </c>
      <c r="Z1137">
        <v>1.849592434242368</v>
      </c>
      <c r="AA1137">
        <v>2.3521850899742929</v>
      </c>
      <c r="AB1137">
        <v>0.35284347939939448</v>
      </c>
    </row>
    <row r="1138" spans="1:28" x14ac:dyDescent="0.25">
      <c r="A1138">
        <v>5</v>
      </c>
      <c r="B1138">
        <v>28</v>
      </c>
      <c r="C1138">
        <v>10</v>
      </c>
      <c r="D1138">
        <v>9571</v>
      </c>
      <c r="E1138">
        <v>18</v>
      </c>
      <c r="F1138">
        <v>10</v>
      </c>
      <c r="G1138">
        <v>6.7323873937129974</v>
      </c>
      <c r="H1138" t="s">
        <v>756</v>
      </c>
      <c r="I1138" t="s">
        <v>35</v>
      </c>
      <c r="J1138">
        <v>0</v>
      </c>
      <c r="K1138">
        <v>64</v>
      </c>
      <c r="L1138" t="s">
        <v>694</v>
      </c>
      <c r="M1138">
        <v>1692</v>
      </c>
      <c r="N1138">
        <v>4.0718140564858913</v>
      </c>
      <c r="O1138">
        <v>6.7323873937129974</v>
      </c>
      <c r="P1138">
        <v>5.0750012844800949</v>
      </c>
      <c r="Q1138">
        <v>14.110124111175541</v>
      </c>
      <c r="R1138">
        <v>1</v>
      </c>
      <c r="S1138" t="s">
        <v>690</v>
      </c>
      <c r="T1138">
        <v>2024</v>
      </c>
      <c r="U1138" s="1">
        <v>45901.600802198707</v>
      </c>
      <c r="V1138" t="s">
        <v>32</v>
      </c>
      <c r="W1138" t="s">
        <v>182</v>
      </c>
      <c r="X1138">
        <v>1.485357186863377</v>
      </c>
      <c r="Y1138">
        <v>1.485357186863377</v>
      </c>
      <c r="Z1138">
        <v>3.267612606287003</v>
      </c>
      <c r="AA1138">
        <v>3.4042553191489362</v>
      </c>
      <c r="AB1138">
        <v>0.35810571243154238</v>
      </c>
    </row>
    <row r="1139" spans="1:28" x14ac:dyDescent="0.25">
      <c r="A1139">
        <v>3</v>
      </c>
      <c r="B1139">
        <v>26</v>
      </c>
      <c r="C1139">
        <v>10</v>
      </c>
      <c r="D1139">
        <v>12064</v>
      </c>
      <c r="E1139">
        <v>29</v>
      </c>
      <c r="F1139">
        <v>7</v>
      </c>
      <c r="G1139">
        <v>4.9392013177275658</v>
      </c>
      <c r="H1139" t="s">
        <v>757</v>
      </c>
      <c r="I1139" t="s">
        <v>35</v>
      </c>
      <c r="J1139">
        <v>2</v>
      </c>
      <c r="K1139">
        <v>56</v>
      </c>
      <c r="L1139" t="s">
        <v>748</v>
      </c>
      <c r="M1139">
        <v>2024</v>
      </c>
      <c r="N1139">
        <v>4.8799561057239771</v>
      </c>
      <c r="O1139">
        <v>7.2020211927592754</v>
      </c>
      <c r="P1139">
        <v>2.3075712500140071</v>
      </c>
      <c r="Q1139">
        <v>7.7208268344402313</v>
      </c>
      <c r="R1139">
        <v>3</v>
      </c>
      <c r="S1139" t="s">
        <v>690</v>
      </c>
      <c r="T1139">
        <v>2024</v>
      </c>
      <c r="U1139" s="1">
        <v>45901.600802198707</v>
      </c>
      <c r="V1139" t="s">
        <v>32</v>
      </c>
      <c r="W1139" t="s">
        <v>182</v>
      </c>
      <c r="X1139">
        <v>1.388499107730166</v>
      </c>
      <c r="Y1139">
        <v>1.4172331819875219</v>
      </c>
      <c r="Z1139">
        <v>2.797978807240725</v>
      </c>
      <c r="AA1139">
        <v>2.4901185770750991</v>
      </c>
      <c r="AB1139">
        <v>0.32024797793890059</v>
      </c>
    </row>
    <row r="1140" spans="1:28" x14ac:dyDescent="0.25">
      <c r="A1140">
        <v>1</v>
      </c>
      <c r="B1140">
        <v>23</v>
      </c>
      <c r="C1140">
        <v>10</v>
      </c>
      <c r="D1140">
        <v>13023</v>
      </c>
      <c r="E1140">
        <v>16</v>
      </c>
      <c r="F1140">
        <v>10</v>
      </c>
      <c r="G1140">
        <v>6.1904019601643094</v>
      </c>
      <c r="H1140" t="s">
        <v>758</v>
      </c>
      <c r="I1140" t="s">
        <v>35</v>
      </c>
      <c r="J1140">
        <v>0</v>
      </c>
      <c r="K1140">
        <v>49</v>
      </c>
      <c r="L1140" t="s">
        <v>689</v>
      </c>
      <c r="M1140">
        <v>1418</v>
      </c>
      <c r="N1140">
        <v>1.893251412548125</v>
      </c>
      <c r="O1140">
        <v>6.1904019601643094</v>
      </c>
      <c r="P1140">
        <v>3.3576335152611141</v>
      </c>
      <c r="Q1140">
        <v>10.44700443465263</v>
      </c>
      <c r="R1140">
        <v>3</v>
      </c>
      <c r="S1140" t="s">
        <v>690</v>
      </c>
      <c r="T1140">
        <v>2024</v>
      </c>
      <c r="U1140" s="1">
        <v>45901.600802198707</v>
      </c>
      <c r="V1140" t="s">
        <v>32</v>
      </c>
      <c r="W1140" t="s">
        <v>182</v>
      </c>
      <c r="X1140">
        <v>1.6154039857751941</v>
      </c>
      <c r="Y1140">
        <v>1.6154039857751941</v>
      </c>
      <c r="Z1140">
        <v>3.809598039835691</v>
      </c>
      <c r="AA1140">
        <v>3.1100141043723561</v>
      </c>
      <c r="AB1140">
        <v>0.39290280424174029</v>
      </c>
    </row>
  </sheetData>
  <autoFilter ref="A1:AB11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B743-787C-48C9-8543-DC9A382CE240}">
  <dimension ref="B1:H531"/>
  <sheetViews>
    <sheetView tabSelected="1" workbookViewId="0">
      <selection activeCell="H3" sqref="H3"/>
    </sheetView>
  </sheetViews>
  <sheetFormatPr defaultRowHeight="15" x14ac:dyDescent="0.25"/>
  <cols>
    <col min="2" max="2" width="26.7109375" bestFit="1" customWidth="1"/>
    <col min="3" max="3" width="10.28515625" bestFit="1" customWidth="1"/>
  </cols>
  <sheetData>
    <row r="1" spans="2:8" x14ac:dyDescent="0.25">
      <c r="B1" t="s">
        <v>759</v>
      </c>
      <c r="C1" t="s">
        <v>764</v>
      </c>
      <c r="D1" t="s">
        <v>760</v>
      </c>
      <c r="E1" t="s">
        <v>761</v>
      </c>
      <c r="F1" t="s">
        <v>762</v>
      </c>
      <c r="G1" t="s">
        <v>763</v>
      </c>
      <c r="H1" t="s">
        <v>765</v>
      </c>
    </row>
    <row r="2" spans="2:8" x14ac:dyDescent="0.25">
      <c r="B2" t="str" cm="1">
        <f t="array" ref="B2:B531">_xlfn._xlws.SORT(_xlfn.UNIQUE(Sheet1!H2:H1140),,1)</f>
        <v>Adem Ljajic</v>
      </c>
      <c r="C2" s="3">
        <f>AVERAGEIF(Sheet1!$H:$H,Planilha1!B2,Sheet1!X:X)</f>
        <v>1.666442983695491</v>
      </c>
      <c r="D2">
        <f>COUNTIF(Sheet1!H:H,Planilha1!B2)</f>
        <v>1</v>
      </c>
      <c r="E2" s="3">
        <f>SUMIF(Sheet1!$H:$H,Planilha1!$B2,Sheet1!C:C)</f>
        <v>10</v>
      </c>
      <c r="F2" s="3">
        <f>SUMIF(Sheet1!$H:$H,Planilha1!$B2,Sheet1!O:O)</f>
        <v>6.0008053667843342</v>
      </c>
      <c r="G2" s="3">
        <f>E2/F2</f>
        <v>1.6664429836954908</v>
      </c>
      <c r="H2" s="4">
        <f>E2/D2</f>
        <v>10</v>
      </c>
    </row>
    <row r="3" spans="2:8" x14ac:dyDescent="0.25">
      <c r="B3" t="str">
        <v>Ademola Lookman</v>
      </c>
      <c r="C3" s="3">
        <f>AVERAGEIF(Sheet1!$H:$H,Planilha1!B3,Sheet1!X:X)</f>
        <v>1.1044584131806012</v>
      </c>
      <c r="D3">
        <f>COUNTIF(Sheet1!H:H,Planilha1!B3)</f>
        <v>3</v>
      </c>
      <c r="E3" s="3">
        <f>SUMIF(Sheet1!$H:$H,Planilha1!$B3,Sheet1!C:C)</f>
        <v>39</v>
      </c>
      <c r="F3" s="3">
        <f>SUMIF(Sheet1!$H:$H,Planilha1!$B3,Sheet1!O:O)</f>
        <v>35.407324878498912</v>
      </c>
      <c r="G3" s="3">
        <f>E3/F3</f>
        <v>1.1014670024868989</v>
      </c>
      <c r="H3" s="4">
        <f>E3/D3</f>
        <v>13</v>
      </c>
    </row>
    <row r="4" spans="2:8" x14ac:dyDescent="0.25">
      <c r="B4" t="str">
        <v>Aduriz</v>
      </c>
      <c r="C4" s="3">
        <f>AVERAGEIF(Sheet1!$H:$H,Planilha1!B4,Sheet1!X:X)</f>
        <v>1.0349937080383762</v>
      </c>
      <c r="D4">
        <f>COUNTIF(Sheet1!H:H,Planilha1!B4)</f>
        <v>3</v>
      </c>
      <c r="E4" s="3">
        <f>SUMIF(Sheet1!$H:$H,Planilha1!$B4,Sheet1!C:C)</f>
        <v>54</v>
      </c>
      <c r="F4" s="3">
        <f>SUMIF(Sheet1!$H:$H,Planilha1!$B4,Sheet1!O:O)</f>
        <v>52.487770527601242</v>
      </c>
      <c r="G4" s="3">
        <f>E4/F4</f>
        <v>1.0288110822234968</v>
      </c>
      <c r="H4" s="4">
        <f>E4/D4</f>
        <v>18</v>
      </c>
    </row>
    <row r="5" spans="2:8" x14ac:dyDescent="0.25">
      <c r="B5" t="str">
        <v>Ahmed Musa</v>
      </c>
      <c r="C5" s="3">
        <f>AVERAGEIF(Sheet1!$H:$H,Planilha1!B5,Sheet1!X:X)</f>
        <v>0.97815212639190841</v>
      </c>
      <c r="D5">
        <f>COUNTIF(Sheet1!H:H,Planilha1!B5)</f>
        <v>2</v>
      </c>
      <c r="E5" s="3">
        <f>SUMIF(Sheet1!$H:$H,Planilha1!$B5,Sheet1!C:C)</f>
        <v>23</v>
      </c>
      <c r="F5" s="3">
        <f>SUMIF(Sheet1!$H:$H,Planilha1!$B5,Sheet1!O:O)</f>
        <v>23.710268670693036</v>
      </c>
      <c r="G5" s="3">
        <f>E5/F5</f>
        <v>0.97004383710038</v>
      </c>
      <c r="H5" s="4">
        <f>E5/D5</f>
        <v>11.5</v>
      </c>
    </row>
    <row r="6" spans="2:8" x14ac:dyDescent="0.25">
      <c r="B6" t="str">
        <v>Alassane Pléa</v>
      </c>
      <c r="C6" s="3">
        <f>AVERAGEIF(Sheet1!$H:$H,Planilha1!B6,Sheet1!X:X)</f>
        <v>1.0805690526861247</v>
      </c>
      <c r="D6">
        <f>COUNTIF(Sheet1!H:H,Planilha1!B6)</f>
        <v>6</v>
      </c>
      <c r="E6" s="3">
        <f>SUMIF(Sheet1!$H:$H,Planilha1!$B6,Sheet1!C:C)</f>
        <v>70</v>
      </c>
      <c r="F6" s="3">
        <f>SUMIF(Sheet1!$H:$H,Planilha1!$B6,Sheet1!O:O)</f>
        <v>68.319814799353466</v>
      </c>
      <c r="G6" s="3">
        <f>E6/F6</f>
        <v>1.0245929413828334</v>
      </c>
      <c r="H6" s="4">
        <f>E6/D6</f>
        <v>11.666666666666666</v>
      </c>
    </row>
    <row r="7" spans="2:8" x14ac:dyDescent="0.25">
      <c r="B7" t="str">
        <v>Albert Gudmundsson</v>
      </c>
      <c r="C7" s="3">
        <f>AVERAGEIF(Sheet1!$H:$H,Planilha1!B7,Sheet1!X:X)</f>
        <v>1.322890608827</v>
      </c>
      <c r="D7">
        <f>COUNTIF(Sheet1!H:H,Planilha1!B7)</f>
        <v>1</v>
      </c>
      <c r="E7" s="3">
        <f>SUMIF(Sheet1!$H:$H,Planilha1!$B7,Sheet1!C:C)</f>
        <v>14</v>
      </c>
      <c r="F7" s="3">
        <f>SUMIF(Sheet1!$H:$H,Planilha1!$B7,Sheet1!O:O)</f>
        <v>10.58288561925292</v>
      </c>
      <c r="G7" s="3">
        <f>E7/F7</f>
        <v>1.322890608827</v>
      </c>
      <c r="H7" s="4">
        <f>E7/D7</f>
        <v>14</v>
      </c>
    </row>
    <row r="8" spans="2:8" x14ac:dyDescent="0.25">
      <c r="B8" t="str">
        <v>Alberto Bueno</v>
      </c>
      <c r="C8" s="3">
        <f>AVERAGEIF(Sheet1!$H:$H,Planilha1!B8,Sheet1!X:X)</f>
        <v>1.1710639801552181</v>
      </c>
      <c r="D8">
        <f>COUNTIF(Sheet1!H:H,Planilha1!B8)</f>
        <v>1</v>
      </c>
      <c r="E8" s="3">
        <f>SUMIF(Sheet1!$H:$H,Planilha1!$B8,Sheet1!C:C)</f>
        <v>17</v>
      </c>
      <c r="F8" s="3">
        <f>SUMIF(Sheet1!$H:$H,Planilha1!$B8,Sheet1!O:O)</f>
        <v>14.51671325229108</v>
      </c>
      <c r="G8" s="3">
        <f>E8/F8</f>
        <v>1.1710639801552185</v>
      </c>
      <c r="H8" s="4">
        <f>E8/D8</f>
        <v>17</v>
      </c>
    </row>
    <row r="9" spans="2:8" x14ac:dyDescent="0.25">
      <c r="B9" t="str">
        <v>Alberto Gilardino</v>
      </c>
      <c r="C9" s="3">
        <f>AVERAGEIF(Sheet1!$H:$H,Planilha1!B9,Sheet1!X:X)</f>
        <v>1.115549326574818</v>
      </c>
      <c r="D9">
        <f>COUNTIF(Sheet1!H:H,Planilha1!B9)</f>
        <v>1</v>
      </c>
      <c r="E9" s="3">
        <f>SUMIF(Sheet1!$H:$H,Planilha1!$B9,Sheet1!C:C)</f>
        <v>10</v>
      </c>
      <c r="F9" s="3">
        <f>SUMIF(Sheet1!$H:$H,Planilha1!$B9,Sheet1!O:O)</f>
        <v>8.9641934800893068</v>
      </c>
      <c r="G9" s="3">
        <f>E9/F9</f>
        <v>1.115549326574818</v>
      </c>
      <c r="H9" s="4">
        <f>E9/D9</f>
        <v>10</v>
      </c>
    </row>
    <row r="10" spans="2:8" x14ac:dyDescent="0.25">
      <c r="B10" t="str">
        <v>Alejandro Gomez</v>
      </c>
      <c r="C10" s="3">
        <f>AVERAGEIF(Sheet1!$H:$H,Planilha1!B10,Sheet1!X:X)</f>
        <v>1.375221188071611</v>
      </c>
      <c r="D10">
        <f>COUNTIF(Sheet1!H:H,Planilha1!B10)</f>
        <v>1</v>
      </c>
      <c r="E10" s="3">
        <f>SUMIF(Sheet1!$H:$H,Planilha1!$B10,Sheet1!C:C)</f>
        <v>16</v>
      </c>
      <c r="F10" s="3">
        <f>SUMIF(Sheet1!$H:$H,Planilha1!$B10,Sheet1!O:O)</f>
        <v>11.63449206482619</v>
      </c>
      <c r="G10" s="3">
        <f>E10/F10</f>
        <v>1.3752211880716105</v>
      </c>
      <c r="H10" s="4">
        <f>E10/D10</f>
        <v>16</v>
      </c>
    </row>
    <row r="11" spans="2:8" x14ac:dyDescent="0.25">
      <c r="B11" t="str">
        <v>Aleksandar Mitrovic</v>
      </c>
      <c r="C11" s="3">
        <f>AVERAGEIF(Sheet1!$H:$H,Planilha1!B11,Sheet1!X:X)</f>
        <v>0.78858239553695308</v>
      </c>
      <c r="D11">
        <f>COUNTIF(Sheet1!H:H,Planilha1!B11)</f>
        <v>2</v>
      </c>
      <c r="E11" s="3">
        <f>SUMIF(Sheet1!$H:$H,Planilha1!$B11,Sheet1!C:C)</f>
        <v>25</v>
      </c>
      <c r="F11" s="3">
        <f>SUMIF(Sheet1!$H:$H,Planilha1!$B11,Sheet1!O:O)</f>
        <v>31.631787572056052</v>
      </c>
      <c r="G11" s="3">
        <f>E11/F11</f>
        <v>0.79034420495683078</v>
      </c>
      <c r="H11" s="4">
        <f>E11/D11</f>
        <v>12.5</v>
      </c>
    </row>
    <row r="12" spans="2:8" x14ac:dyDescent="0.25">
      <c r="B12" t="str">
        <v>Aleksandr Kokorin</v>
      </c>
      <c r="C12" s="3">
        <f>AVERAGEIF(Sheet1!$H:$H,Planilha1!B12,Sheet1!X:X)</f>
        <v>1.069819058974518</v>
      </c>
      <c r="D12">
        <f>COUNTIF(Sheet1!H:H,Planilha1!B12)</f>
        <v>1</v>
      </c>
      <c r="E12" s="3">
        <f>SUMIF(Sheet1!$H:$H,Planilha1!$B12,Sheet1!C:C)</f>
        <v>10</v>
      </c>
      <c r="F12" s="3">
        <f>SUMIF(Sheet1!$H:$H,Planilha1!$B12,Sheet1!O:O)</f>
        <v>9.3473750688135624</v>
      </c>
      <c r="G12" s="3">
        <f>E12/F12</f>
        <v>1.0698190589745185</v>
      </c>
      <c r="H12" s="4">
        <f>E12/D12</f>
        <v>10</v>
      </c>
    </row>
    <row r="13" spans="2:8" x14ac:dyDescent="0.25">
      <c r="B13" t="str">
        <v>Aleksey Miranchuk</v>
      </c>
      <c r="C13" s="3">
        <f>AVERAGEIF(Sheet1!$H:$H,Planilha1!B13,Sheet1!X:X)</f>
        <v>0.99851255144875384</v>
      </c>
      <c r="D13">
        <f>COUNTIF(Sheet1!H:H,Planilha1!B13)</f>
        <v>1</v>
      </c>
      <c r="E13" s="3">
        <f>SUMIF(Sheet1!$H:$H,Planilha1!$B13,Sheet1!C:C)</f>
        <v>12</v>
      </c>
      <c r="F13" s="3">
        <f>SUMIF(Sheet1!$H:$H,Planilha1!$B13,Sheet1!O:O)</f>
        <v>12.01787597220391</v>
      </c>
      <c r="G13" s="3">
        <f>E13/F13</f>
        <v>0.99851255144875384</v>
      </c>
      <c r="H13" s="4">
        <f>E13/D13</f>
        <v>12</v>
      </c>
    </row>
    <row r="14" spans="2:8" x14ac:dyDescent="0.25">
      <c r="B14" t="str">
        <v>Alexander Isak</v>
      </c>
      <c r="C14" s="3">
        <f>AVERAGEIF(Sheet1!$H:$H,Planilha1!B14,Sheet1!X:X)</f>
        <v>1.0225044875147591</v>
      </c>
      <c r="D14">
        <f>COUNTIF(Sheet1!H:H,Planilha1!B14)</f>
        <v>4</v>
      </c>
      <c r="E14" s="3">
        <f>SUMIF(Sheet1!$H:$H,Planilha1!$B14,Sheet1!C:C)</f>
        <v>70</v>
      </c>
      <c r="F14" s="3">
        <f>SUMIF(Sheet1!$H:$H,Planilha1!$B14,Sheet1!O:O)</f>
        <v>69.683793433010578</v>
      </c>
      <c r="G14" s="3">
        <f>E14/F14</f>
        <v>1.0045377346928364</v>
      </c>
      <c r="H14" s="4">
        <f>E14/D14</f>
        <v>17.5</v>
      </c>
    </row>
    <row r="15" spans="2:8" x14ac:dyDescent="0.25">
      <c r="B15" t="str">
        <v>Alexander Meier</v>
      </c>
      <c r="C15" s="3">
        <f>AVERAGEIF(Sheet1!$H:$H,Planilha1!B15,Sheet1!X:X)</f>
        <v>1.3878518989536142</v>
      </c>
      <c r="D15">
        <f>COUNTIF(Sheet1!H:H,Planilha1!B15)</f>
        <v>2</v>
      </c>
      <c r="E15" s="3">
        <f>SUMIF(Sheet1!$H:$H,Planilha1!$B15,Sheet1!C:C)</f>
        <v>31</v>
      </c>
      <c r="F15" s="3">
        <f>SUMIF(Sheet1!$H:$H,Planilha1!$B15,Sheet1!O:O)</f>
        <v>23.179992653429508</v>
      </c>
      <c r="G15" s="3">
        <f>E15/F15</f>
        <v>1.3373602167821874</v>
      </c>
      <c r="H15" s="4">
        <f>E15/D15</f>
        <v>15.5</v>
      </c>
    </row>
    <row r="16" spans="2:8" x14ac:dyDescent="0.25">
      <c r="B16" t="str">
        <v>Alexander Sobolev</v>
      </c>
      <c r="C16" s="3">
        <f>AVERAGEIF(Sheet1!$H:$H,Planilha1!B16,Sheet1!X:X)</f>
        <v>1.2166775000891985</v>
      </c>
      <c r="D16">
        <f>COUNTIF(Sheet1!H:H,Planilha1!B16)</f>
        <v>3</v>
      </c>
      <c r="E16" s="3">
        <f>SUMIF(Sheet1!$H:$H,Planilha1!$B16,Sheet1!C:C)</f>
        <v>39</v>
      </c>
      <c r="F16" s="3">
        <f>SUMIF(Sheet1!$H:$H,Planilha1!$B16,Sheet1!O:O)</f>
        <v>32.256934497505419</v>
      </c>
      <c r="G16" s="3">
        <f>E16/F16</f>
        <v>1.2090423534516603</v>
      </c>
      <c r="H16" s="4">
        <f>E16/D16</f>
        <v>13</v>
      </c>
    </row>
    <row r="17" spans="2:8" x14ac:dyDescent="0.25">
      <c r="B17" t="str">
        <v>Alexander Sørloth</v>
      </c>
      <c r="C17" s="3">
        <f>AVERAGEIF(Sheet1!$H:$H,Planilha1!B17,Sheet1!X:X)</f>
        <v>1.0812991127737583</v>
      </c>
      <c r="D17">
        <f>COUNTIF(Sheet1!H:H,Planilha1!B17)</f>
        <v>3</v>
      </c>
      <c r="E17" s="3">
        <f>SUMIF(Sheet1!$H:$H,Planilha1!$B17,Sheet1!C:C)</f>
        <v>55</v>
      </c>
      <c r="F17" s="3">
        <f>SUMIF(Sheet1!$H:$H,Planilha1!$B17,Sheet1!O:O)</f>
        <v>51.358884358778596</v>
      </c>
      <c r="G17" s="3">
        <f>E17/F17</f>
        <v>1.0708955361215715</v>
      </c>
      <c r="H17" s="4">
        <f>E17/D17</f>
        <v>18.333333333333332</v>
      </c>
    </row>
    <row r="18" spans="2:8" x14ac:dyDescent="0.25">
      <c r="B18" t="str">
        <v>Alexandre Lacazette</v>
      </c>
      <c r="C18" s="3">
        <f>AVERAGEIF(Sheet1!$H:$H,Planilha1!B18,Sheet1!X:X)</f>
        <v>1.1169920809640714</v>
      </c>
      <c r="D18">
        <f>COUNTIF(Sheet1!H:H,Planilha1!B18)</f>
        <v>10</v>
      </c>
      <c r="E18" s="3">
        <f>SUMIF(Sheet1!$H:$H,Planilha1!$B18,Sheet1!C:C)</f>
        <v>187</v>
      </c>
      <c r="F18" s="3">
        <f>SUMIF(Sheet1!$H:$H,Planilha1!$B18,Sheet1!O:O)</f>
        <v>168.36320223100483</v>
      </c>
      <c r="G18" s="3">
        <f>E18/F18</f>
        <v>1.1106940086790718</v>
      </c>
      <c r="H18" s="4">
        <f>E18/D18</f>
        <v>18.7</v>
      </c>
    </row>
    <row r="19" spans="2:8" x14ac:dyDescent="0.25">
      <c r="B19" t="str">
        <v>Alexey Batrakov</v>
      </c>
      <c r="C19" s="3">
        <f>AVERAGEIF(Sheet1!$H:$H,Planilha1!B19,Sheet1!X:X)</f>
        <v>1.876420743002162</v>
      </c>
      <c r="D19">
        <f>COUNTIF(Sheet1!H:H,Planilha1!B19)</f>
        <v>1</v>
      </c>
      <c r="E19" s="3">
        <f>SUMIF(Sheet1!$H:$H,Planilha1!$B19,Sheet1!C:C)</f>
        <v>14</v>
      </c>
      <c r="F19" s="3">
        <f>SUMIF(Sheet1!$H:$H,Planilha1!$B19,Sheet1!O:O)</f>
        <v>7.4610132360830903</v>
      </c>
      <c r="G19" s="3">
        <f>E19/F19</f>
        <v>1.8764207430021624</v>
      </c>
      <c r="H19" s="4">
        <f>E19/D19</f>
        <v>14</v>
      </c>
    </row>
    <row r="20" spans="2:8" x14ac:dyDescent="0.25">
      <c r="B20" t="str">
        <v>Alexis Sánchez</v>
      </c>
      <c r="C20" s="3">
        <f>AVERAGEIF(Sheet1!$H:$H,Planilha1!B20,Sheet1!X:X)</f>
        <v>1.1807665556374995</v>
      </c>
      <c r="D20">
        <f>COUNTIF(Sheet1!H:H,Planilha1!B20)</f>
        <v>3</v>
      </c>
      <c r="E20" s="3">
        <f>SUMIF(Sheet1!$H:$H,Planilha1!$B20,Sheet1!C:C)</f>
        <v>54</v>
      </c>
      <c r="F20" s="3">
        <f>SUMIF(Sheet1!$H:$H,Planilha1!$B20,Sheet1!O:O)</f>
        <v>45.192997925914817</v>
      </c>
      <c r="G20" s="3">
        <f>E20/F20</f>
        <v>1.1948753673859513</v>
      </c>
      <c r="H20" s="4">
        <f>E20/D20</f>
        <v>18</v>
      </c>
    </row>
    <row r="21" spans="2:8" x14ac:dyDescent="0.25">
      <c r="B21" t="str">
        <v>Alfred Finnbogason</v>
      </c>
      <c r="C21" s="3">
        <f>AVERAGEIF(Sheet1!$H:$H,Planilha1!B21,Sheet1!X:X)</f>
        <v>0.96698805862693393</v>
      </c>
      <c r="D21">
        <f>COUNTIF(Sheet1!H:H,Planilha1!B21)</f>
        <v>2</v>
      </c>
      <c r="E21" s="3">
        <f>SUMIF(Sheet1!$H:$H,Planilha1!$B21,Sheet1!C:C)</f>
        <v>22</v>
      </c>
      <c r="F21" s="3">
        <f>SUMIF(Sheet1!$H:$H,Planilha1!$B21,Sheet1!O:O)</f>
        <v>22.765529887750738</v>
      </c>
      <c r="G21" s="3">
        <f>E21/F21</f>
        <v>0.96637328928756272</v>
      </c>
      <c r="H21" s="4">
        <f>E21/D21</f>
        <v>11</v>
      </c>
    </row>
    <row r="22" spans="2:8" x14ac:dyDescent="0.25">
      <c r="B22" t="str">
        <v>Álvaro Morata</v>
      </c>
      <c r="C22" s="3">
        <f>AVERAGEIF(Sheet1!$H:$H,Planilha1!B22,Sheet1!X:X)</f>
        <v>0.96930322670172497</v>
      </c>
      <c r="D22">
        <f>COUNTIF(Sheet1!H:H,Planilha1!B22)</f>
        <v>6</v>
      </c>
      <c r="E22" s="3">
        <f>SUMIF(Sheet1!$H:$H,Planilha1!$B22,Sheet1!C:C)</f>
        <v>77</v>
      </c>
      <c r="F22" s="3">
        <f>SUMIF(Sheet1!$H:$H,Planilha1!$B22,Sheet1!O:O)</f>
        <v>82.794783225283027</v>
      </c>
      <c r="G22" s="3">
        <f>E22/F22</f>
        <v>0.93001028567807786</v>
      </c>
      <c r="H22" s="4">
        <f>E22/D22</f>
        <v>12.833333333333334</v>
      </c>
    </row>
    <row r="23" spans="2:8" x14ac:dyDescent="0.25">
      <c r="B23" t="str">
        <v>Amine Gouiri</v>
      </c>
      <c r="C23" s="3">
        <f>AVERAGEIF(Sheet1!$H:$H,Planilha1!B23,Sheet1!X:X)</f>
        <v>1.0345730324853075</v>
      </c>
      <c r="D23">
        <f>COUNTIF(Sheet1!H:H,Planilha1!B23)</f>
        <v>4</v>
      </c>
      <c r="E23" s="3">
        <f>SUMIF(Sheet1!$H:$H,Planilha1!$B23,Sheet1!C:C)</f>
        <v>50</v>
      </c>
      <c r="F23" s="3">
        <f>SUMIF(Sheet1!$H:$H,Planilha1!$B23,Sheet1!O:O)</f>
        <v>48.646890325471759</v>
      </c>
      <c r="G23" s="3">
        <f>E23/F23</f>
        <v>1.0278149264110259</v>
      </c>
      <c r="H23" s="4">
        <f>E23/D23</f>
        <v>12.5</v>
      </c>
    </row>
    <row r="24" spans="2:8" x14ac:dyDescent="0.25">
      <c r="B24" t="str">
        <v>André Ayew</v>
      </c>
      <c r="C24" s="3">
        <f>AVERAGEIF(Sheet1!$H:$H,Planilha1!B24,Sheet1!X:X)</f>
        <v>1.4179430863578539</v>
      </c>
      <c r="D24">
        <f>COUNTIF(Sheet1!H:H,Planilha1!B24)</f>
        <v>1</v>
      </c>
      <c r="E24" s="3">
        <f>SUMIF(Sheet1!$H:$H,Planilha1!$B24,Sheet1!C:C)</f>
        <v>12</v>
      </c>
      <c r="F24" s="3">
        <f>SUMIF(Sheet1!$H:$H,Planilha1!$B24,Sheet1!O:O)</f>
        <v>8.4629630874842405</v>
      </c>
      <c r="G24" s="3">
        <f>E24/F24</f>
        <v>1.4179430863578544</v>
      </c>
      <c r="H24" s="4">
        <f>E24/D24</f>
        <v>12</v>
      </c>
    </row>
    <row r="25" spans="2:8" x14ac:dyDescent="0.25">
      <c r="B25" t="str">
        <v>André Silva</v>
      </c>
      <c r="C25" s="3">
        <f>AVERAGEIF(Sheet1!$H:$H,Planilha1!B25,Sheet1!X:X)</f>
        <v>0.96066390202116081</v>
      </c>
      <c r="D25">
        <f>COUNTIF(Sheet1!H:H,Planilha1!B25)</f>
        <v>3</v>
      </c>
      <c r="E25" s="3">
        <f>SUMIF(Sheet1!$H:$H,Planilha1!$B25,Sheet1!C:C)</f>
        <v>51</v>
      </c>
      <c r="F25" s="3">
        <f>SUMIF(Sheet1!$H:$H,Planilha1!$B25,Sheet1!O:O)</f>
        <v>51.839879836887121</v>
      </c>
      <c r="G25" s="3">
        <f>E25/F25</f>
        <v>0.98379857670330673</v>
      </c>
      <c r="H25" s="4">
        <f>E25/D25</f>
        <v>17</v>
      </c>
    </row>
    <row r="26" spans="2:8" x14ac:dyDescent="0.25">
      <c r="B26" t="str">
        <v>Andrea Belotti</v>
      </c>
      <c r="C26" s="3">
        <f>AVERAGEIF(Sheet1!$H:$H,Planilha1!B26,Sheet1!X:X)</f>
        <v>0.94782730450870956</v>
      </c>
      <c r="D26">
        <f>COUNTIF(Sheet1!H:H,Planilha1!B26)</f>
        <v>6</v>
      </c>
      <c r="E26" s="3">
        <f>SUMIF(Sheet1!$H:$H,Planilha1!$B26,Sheet1!C:C)</f>
        <v>91</v>
      </c>
      <c r="F26" s="3">
        <f>SUMIF(Sheet1!$H:$H,Planilha1!$B26,Sheet1!O:O)</f>
        <v>93.959899712353945</v>
      </c>
      <c r="G26" s="3">
        <f>E26/F26</f>
        <v>0.9684982665859021</v>
      </c>
      <c r="H26" s="4">
        <f>E26/D26</f>
        <v>15.166666666666666</v>
      </c>
    </row>
    <row r="27" spans="2:8" x14ac:dyDescent="0.25">
      <c r="B27" t="str">
        <v>Andrea Petagna</v>
      </c>
      <c r="C27" s="3">
        <f>AVERAGEIF(Sheet1!$H:$H,Planilha1!B27,Sheet1!X:X)</f>
        <v>0.9873973881317053</v>
      </c>
      <c r="D27">
        <f>COUNTIF(Sheet1!H:H,Planilha1!B27)</f>
        <v>2</v>
      </c>
      <c r="E27" s="3">
        <f>SUMIF(Sheet1!$H:$H,Planilha1!$B27,Sheet1!C:C)</f>
        <v>28</v>
      </c>
      <c r="F27" s="3">
        <f>SUMIF(Sheet1!$H:$H,Planilha1!$B27,Sheet1!O:O)</f>
        <v>28.228972292505212</v>
      </c>
      <c r="G27" s="3">
        <f>E27/F27</f>
        <v>0.9918887485476755</v>
      </c>
      <c r="H27" s="4">
        <f>E27/D27</f>
        <v>14</v>
      </c>
    </row>
    <row r="28" spans="2:8" x14ac:dyDescent="0.25">
      <c r="B28" t="str">
        <v>Andrea Pinamonti</v>
      </c>
      <c r="C28" s="3">
        <f>AVERAGEIF(Sheet1!$H:$H,Planilha1!B28,Sheet1!X:X)</f>
        <v>1.1362564973864251</v>
      </c>
      <c r="D28">
        <f>COUNTIF(Sheet1!H:H,Planilha1!B28)</f>
        <v>3</v>
      </c>
      <c r="E28" s="3">
        <f>SUMIF(Sheet1!$H:$H,Planilha1!$B28,Sheet1!C:C)</f>
        <v>34</v>
      </c>
      <c r="F28" s="3">
        <f>SUMIF(Sheet1!$H:$H,Planilha1!$B28,Sheet1!O:O)</f>
        <v>30.308252159506083</v>
      </c>
      <c r="G28" s="3">
        <f>E28/F28</f>
        <v>1.1218066888537488</v>
      </c>
      <c r="H28" s="4">
        <f>E28/D28</f>
        <v>11.333333333333334</v>
      </c>
    </row>
    <row r="29" spans="2:8" x14ac:dyDescent="0.25">
      <c r="B29" t="str">
        <v>Andreas Cornelius</v>
      </c>
      <c r="C29" s="3">
        <f>AVERAGEIF(Sheet1!$H:$H,Planilha1!B29,Sheet1!X:X)</f>
        <v>1.5938456246699619</v>
      </c>
      <c r="D29">
        <f>COUNTIF(Sheet1!H:H,Planilha1!B29)</f>
        <v>1</v>
      </c>
      <c r="E29" s="3">
        <f>SUMIF(Sheet1!$H:$H,Planilha1!$B29,Sheet1!C:C)</f>
        <v>12</v>
      </c>
      <c r="F29" s="3">
        <f>SUMIF(Sheet1!$H:$H,Planilha1!$B29,Sheet1!O:O)</f>
        <v>7.5289600286632776</v>
      </c>
      <c r="G29" s="3">
        <f>E29/F29</f>
        <v>1.5938456246699624</v>
      </c>
      <c r="H29" s="4">
        <f>E29/D29</f>
        <v>12</v>
      </c>
    </row>
    <row r="30" spans="2:8" x14ac:dyDescent="0.25">
      <c r="B30" t="str">
        <v>Andrej Kramaric</v>
      </c>
      <c r="C30" s="3">
        <f>AVERAGEIF(Sheet1!$H:$H,Planilha1!B30,Sheet1!X:X)</f>
        <v>1.0830161793201809</v>
      </c>
      <c r="D30">
        <f>COUNTIF(Sheet1!H:H,Planilha1!B30)</f>
        <v>8</v>
      </c>
      <c r="E30" s="3">
        <f>SUMIF(Sheet1!$H:$H,Planilha1!$B30,Sheet1!C:C)</f>
        <v>115</v>
      </c>
      <c r="F30" s="3">
        <f>SUMIF(Sheet1!$H:$H,Planilha1!$B30,Sheet1!O:O)</f>
        <v>108.9833875624463</v>
      </c>
      <c r="G30" s="3">
        <f>E30/F30</f>
        <v>1.0552066931678579</v>
      </c>
      <c r="H30" s="4">
        <f>E30/D30</f>
        <v>14.375</v>
      </c>
    </row>
    <row r="31" spans="2:8" x14ac:dyDescent="0.25">
      <c r="B31" t="str">
        <v>André-Pierre Gignac</v>
      </c>
      <c r="C31" s="3">
        <f>AVERAGEIF(Sheet1!$H:$H,Planilha1!B31,Sheet1!X:X)</f>
        <v>1.257429211365235</v>
      </c>
      <c r="D31">
        <f>COUNTIF(Sheet1!H:H,Planilha1!B31)</f>
        <v>1</v>
      </c>
      <c r="E31" s="3">
        <f>SUMIF(Sheet1!$H:$H,Planilha1!$B31,Sheet1!C:C)</f>
        <v>21</v>
      </c>
      <c r="F31" s="3">
        <f>SUMIF(Sheet1!$H:$H,Planilha1!$B31,Sheet1!O:O)</f>
        <v>16.700741330161691</v>
      </c>
      <c r="G31" s="3">
        <f>E31/F31</f>
        <v>1.257429211365235</v>
      </c>
      <c r="H31" s="4">
        <f>E31/D31</f>
        <v>21</v>
      </c>
    </row>
    <row r="32" spans="2:8" x14ac:dyDescent="0.25">
      <c r="B32" t="str">
        <v>Andy Delort</v>
      </c>
      <c r="C32" s="3">
        <f>AVERAGEIF(Sheet1!$H:$H,Planilha1!B32,Sheet1!X:X)</f>
        <v>0.98736413816054736</v>
      </c>
      <c r="D32">
        <f>COUNTIF(Sheet1!H:H,Planilha1!B32)</f>
        <v>4</v>
      </c>
      <c r="E32" s="3">
        <f>SUMIF(Sheet1!$H:$H,Planilha1!$B32,Sheet1!C:C)</f>
        <v>59</v>
      </c>
      <c r="F32" s="3">
        <f>SUMIF(Sheet1!$H:$H,Planilha1!$B32,Sheet1!O:O)</f>
        <v>60.223363765515387</v>
      </c>
      <c r="G32" s="3">
        <f>E32/F32</f>
        <v>0.97968622659008797</v>
      </c>
      <c r="H32" s="4">
        <f>E32/D32</f>
        <v>14.75</v>
      </c>
    </row>
    <row r="33" spans="2:8" x14ac:dyDescent="0.25">
      <c r="B33" t="str">
        <v>Ángel</v>
      </c>
      <c r="C33" s="3">
        <f>AVERAGEIF(Sheet1!$H:$H,Planilha1!B33,Sheet1!X:X)</f>
        <v>1.2309330381337369</v>
      </c>
      <c r="D33">
        <f>COUNTIF(Sheet1!H:H,Planilha1!B33)</f>
        <v>2</v>
      </c>
      <c r="E33" s="3">
        <f>SUMIF(Sheet1!$H:$H,Planilha1!$B33,Sheet1!C:C)</f>
        <v>23</v>
      </c>
      <c r="F33" s="3">
        <f>SUMIF(Sheet1!$H:$H,Planilha1!$B33,Sheet1!O:O)</f>
        <v>18.665173491463065</v>
      </c>
      <c r="G33" s="3">
        <f>E33/F33</f>
        <v>1.2322414260183312</v>
      </c>
      <c r="H33" s="4">
        <f>E33/D33</f>
        <v>11.5</v>
      </c>
    </row>
    <row r="34" spans="2:8" x14ac:dyDescent="0.25">
      <c r="B34" t="str">
        <v>Ángel Correa</v>
      </c>
      <c r="C34" s="3">
        <f>AVERAGEIF(Sheet1!$H:$H,Planilha1!B34,Sheet1!X:X)</f>
        <v>1.5939698201554999</v>
      </c>
      <c r="D34">
        <f>COUNTIF(Sheet1!H:H,Planilha1!B34)</f>
        <v>1</v>
      </c>
      <c r="E34" s="3">
        <f>SUMIF(Sheet1!$H:$H,Planilha1!$B34,Sheet1!C:C)</f>
        <v>12</v>
      </c>
      <c r="F34" s="3">
        <f>SUMIF(Sheet1!$H:$H,Planilha1!$B34,Sheet1!O:O)</f>
        <v>7.5283734034746876</v>
      </c>
      <c r="G34" s="3">
        <f>E34/F34</f>
        <v>1.5939698201555004</v>
      </c>
      <c r="H34" s="4">
        <f>E34/D34</f>
        <v>12</v>
      </c>
    </row>
    <row r="35" spans="2:8" x14ac:dyDescent="0.25">
      <c r="B35" t="str">
        <v>Ángel Di María</v>
      </c>
      <c r="C35" s="3">
        <f>AVERAGEIF(Sheet1!$H:$H,Planilha1!B35,Sheet1!X:X)</f>
        <v>1.190307209731678</v>
      </c>
      <c r="D35">
        <f>COUNTIF(Sheet1!H:H,Planilha1!B35)</f>
        <v>3</v>
      </c>
      <c r="E35" s="3">
        <f>SUMIF(Sheet1!$H:$H,Planilha1!$B35,Sheet1!C:C)</f>
        <v>33</v>
      </c>
      <c r="F35" s="3">
        <f>SUMIF(Sheet1!$H:$H,Planilha1!$B35,Sheet1!O:O)</f>
        <v>29.334756013005972</v>
      </c>
      <c r="G35" s="3">
        <f>E35/F35</f>
        <v>1.1249454396473928</v>
      </c>
      <c r="H35" s="4">
        <f>E35/D35</f>
        <v>11</v>
      </c>
    </row>
    <row r="36" spans="2:8" x14ac:dyDescent="0.25">
      <c r="B36" t="str">
        <v>Ante Budimir</v>
      </c>
      <c r="C36" s="3">
        <f>AVERAGEIF(Sheet1!$H:$H,Planilha1!B36,Sheet1!X:X)</f>
        <v>1.1089383316215153</v>
      </c>
      <c r="D36">
        <f>COUNTIF(Sheet1!H:H,Planilha1!B36)</f>
        <v>4</v>
      </c>
      <c r="E36" s="3">
        <f>SUMIF(Sheet1!$H:$H,Planilha1!$B36,Sheet1!C:C)</f>
        <v>62</v>
      </c>
      <c r="F36" s="3">
        <f>SUMIF(Sheet1!$H:$H,Planilha1!$B36,Sheet1!O:O)</f>
        <v>56.693708021193736</v>
      </c>
      <c r="G36" s="3">
        <f>E36/F36</f>
        <v>1.0935957827422864</v>
      </c>
      <c r="H36" s="4">
        <f>E36/D36</f>
        <v>15.5</v>
      </c>
    </row>
    <row r="37" spans="2:8" x14ac:dyDescent="0.25">
      <c r="B37" t="str">
        <v>Ante Rebic</v>
      </c>
      <c r="C37" s="3">
        <f>AVERAGEIF(Sheet1!$H:$H,Planilha1!B37,Sheet1!X:X)</f>
        <v>1.4891354760356226</v>
      </c>
      <c r="D37">
        <f>COUNTIF(Sheet1!H:H,Planilha1!B37)</f>
        <v>2</v>
      </c>
      <c r="E37" s="3">
        <f>SUMIF(Sheet1!$H:$H,Planilha1!$B37,Sheet1!C:C)</f>
        <v>22</v>
      </c>
      <c r="F37" s="3">
        <f>SUMIF(Sheet1!$H:$H,Planilha1!$B37,Sheet1!O:O)</f>
        <v>14.776637104339898</v>
      </c>
      <c r="G37" s="3">
        <f>E37/F37</f>
        <v>1.4888367254778558</v>
      </c>
      <c r="H37" s="4">
        <f>E37/D37</f>
        <v>11</v>
      </c>
    </row>
    <row r="38" spans="2:8" x14ac:dyDescent="0.25">
      <c r="B38" t="str">
        <v>Anthony Gordon</v>
      </c>
      <c r="C38" s="3">
        <f>AVERAGEIF(Sheet1!$H:$H,Planilha1!B38,Sheet1!X:X)</f>
        <v>0.97398751744552436</v>
      </c>
      <c r="D38">
        <f>COUNTIF(Sheet1!H:H,Planilha1!B38)</f>
        <v>1</v>
      </c>
      <c r="E38" s="3">
        <f>SUMIF(Sheet1!$H:$H,Planilha1!$B38,Sheet1!C:C)</f>
        <v>11</v>
      </c>
      <c r="F38" s="3">
        <f>SUMIF(Sheet1!$H:$H,Planilha1!$B38,Sheet1!O:O)</f>
        <v>11.293779235333201</v>
      </c>
      <c r="G38" s="3">
        <f>E38/F38</f>
        <v>0.9739875174455247</v>
      </c>
      <c r="H38" s="4">
        <f>E38/D38</f>
        <v>11</v>
      </c>
    </row>
    <row r="39" spans="2:8" x14ac:dyDescent="0.25">
      <c r="B39" t="str">
        <v>Anthony Martial</v>
      </c>
      <c r="C39" s="3">
        <f>AVERAGEIF(Sheet1!$H:$H,Planilha1!B39,Sheet1!X:X)</f>
        <v>1.3511414963097828</v>
      </c>
      <c r="D39">
        <f>COUNTIF(Sheet1!H:H,Planilha1!B39)</f>
        <v>3</v>
      </c>
      <c r="E39" s="3">
        <f>SUMIF(Sheet1!$H:$H,Planilha1!$B39,Sheet1!C:C)</f>
        <v>38</v>
      </c>
      <c r="F39" s="3">
        <f>SUMIF(Sheet1!$H:$H,Planilha1!$B39,Sheet1!O:O)</f>
        <v>28.468509620055549</v>
      </c>
      <c r="G39" s="3">
        <f>E39/F39</f>
        <v>1.3348081970975287</v>
      </c>
      <c r="H39" s="4">
        <f>E39/D39</f>
        <v>12.666666666666666</v>
      </c>
    </row>
    <row r="40" spans="2:8" x14ac:dyDescent="0.25">
      <c r="B40" t="str">
        <v>Anthony Modeste</v>
      </c>
      <c r="C40" s="3">
        <f>AVERAGEIF(Sheet1!$H:$H,Planilha1!B40,Sheet1!X:X)</f>
        <v>1.1006071920592342</v>
      </c>
      <c r="D40">
        <f>COUNTIF(Sheet1!H:H,Planilha1!B40)</f>
        <v>3</v>
      </c>
      <c r="E40" s="3">
        <f>SUMIF(Sheet1!$H:$H,Planilha1!$B40,Sheet1!C:C)</f>
        <v>60</v>
      </c>
      <c r="F40" s="3">
        <f>SUMIF(Sheet1!$H:$H,Planilha1!$B40,Sheet1!O:O)</f>
        <v>54.336551535874605</v>
      </c>
      <c r="G40" s="3">
        <f>E40/F40</f>
        <v>1.1042290742427079</v>
      </c>
      <c r="H40" s="4">
        <f>E40/D40</f>
        <v>20</v>
      </c>
    </row>
    <row r="41" spans="2:8" x14ac:dyDescent="0.25">
      <c r="B41" t="str">
        <v>Anthony Ujah</v>
      </c>
      <c r="C41" s="3">
        <f>AVERAGEIF(Sheet1!$H:$H,Planilha1!B41,Sheet1!X:X)</f>
        <v>1.0715058550646193</v>
      </c>
      <c r="D41">
        <f>COUNTIF(Sheet1!H:H,Planilha1!B41)</f>
        <v>2</v>
      </c>
      <c r="E41" s="3">
        <f>SUMIF(Sheet1!$H:$H,Planilha1!$B41,Sheet1!C:C)</f>
        <v>21</v>
      </c>
      <c r="F41" s="3">
        <f>SUMIF(Sheet1!$H:$H,Planilha1!$B41,Sheet1!O:O)</f>
        <v>20.379220458678901</v>
      </c>
      <c r="G41" s="3">
        <f>E41/F41</f>
        <v>1.0304613978036989</v>
      </c>
      <c r="H41" s="4">
        <f>E41/D41</f>
        <v>10.5</v>
      </c>
    </row>
    <row r="42" spans="2:8" x14ac:dyDescent="0.25">
      <c r="B42" t="str">
        <v>Antoine Griezmann</v>
      </c>
      <c r="C42" s="3">
        <f>AVERAGEIF(Sheet1!$H:$H,Planilha1!B42,Sheet1!X:X)</f>
        <v>1.2644484065490063</v>
      </c>
      <c r="D42">
        <f>COUNTIF(Sheet1!H:H,Planilha1!B42)</f>
        <v>8</v>
      </c>
      <c r="E42" s="3">
        <f>SUMIF(Sheet1!$H:$H,Planilha1!$B42,Sheet1!C:C)</f>
        <v>138</v>
      </c>
      <c r="F42" s="3">
        <f>SUMIF(Sheet1!$H:$H,Planilha1!$B42,Sheet1!O:O)</f>
        <v>108.8924377206713</v>
      </c>
      <c r="G42" s="3">
        <f>E42/F42</f>
        <v>1.267305635621776</v>
      </c>
      <c r="H42" s="4">
        <f>E42/D42</f>
        <v>17.25</v>
      </c>
    </row>
    <row r="43" spans="2:8" x14ac:dyDescent="0.25">
      <c r="B43" t="str">
        <v>Antoine Semenyo</v>
      </c>
      <c r="C43" s="3">
        <f>AVERAGEIF(Sheet1!$H:$H,Planilha1!B43,Sheet1!X:X)</f>
        <v>0.75604771262209325</v>
      </c>
      <c r="D43">
        <f>COUNTIF(Sheet1!H:H,Planilha1!B43)</f>
        <v>1</v>
      </c>
      <c r="E43" s="3">
        <f>SUMIF(Sheet1!$H:$H,Planilha1!$B43,Sheet1!C:C)</f>
        <v>11</v>
      </c>
      <c r="F43" s="3">
        <f>SUMIF(Sheet1!$H:$H,Planilha1!$B43,Sheet1!O:O)</f>
        <v>14.54934631288052</v>
      </c>
      <c r="G43" s="3">
        <f>E43/F43</f>
        <v>0.75604771262209303</v>
      </c>
      <c r="H43" s="4">
        <f>E43/D43</f>
        <v>11</v>
      </c>
    </row>
    <row r="44" spans="2:8" x14ac:dyDescent="0.25">
      <c r="B44" t="str">
        <v>Anton Miranchuk</v>
      </c>
      <c r="C44" s="3">
        <f>AVERAGEIF(Sheet1!$H:$H,Planilha1!B44,Sheet1!X:X)</f>
        <v>1.6283063040555621</v>
      </c>
      <c r="D44">
        <f>COUNTIF(Sheet1!H:H,Planilha1!B44)</f>
        <v>1</v>
      </c>
      <c r="E44" s="3">
        <f>SUMIF(Sheet1!$H:$H,Planilha1!$B44,Sheet1!C:C)</f>
        <v>11</v>
      </c>
      <c r="F44" s="3">
        <f>SUMIF(Sheet1!$H:$H,Planilha1!$B44,Sheet1!O:O)</f>
        <v>6.7554857293143868</v>
      </c>
      <c r="G44" s="3">
        <f>E44/F44</f>
        <v>1.6283063040555616</v>
      </c>
      <c r="H44" s="4">
        <f>E44/D44</f>
        <v>11</v>
      </c>
    </row>
    <row r="45" spans="2:8" x14ac:dyDescent="0.25">
      <c r="B45" t="str">
        <v>Anton Zabolotny</v>
      </c>
      <c r="C45" s="3">
        <f>AVERAGEIF(Sheet1!$H:$H,Planilha1!B45,Sheet1!X:X)</f>
        <v>1.071453913742878</v>
      </c>
      <c r="D45">
        <f>COUNTIF(Sheet1!H:H,Planilha1!B45)</f>
        <v>1</v>
      </c>
      <c r="E45" s="3">
        <f>SUMIF(Sheet1!$H:$H,Planilha1!$B45,Sheet1!C:C)</f>
        <v>10</v>
      </c>
      <c r="F45" s="3">
        <f>SUMIF(Sheet1!$H:$H,Planilha1!$B45,Sheet1!O:O)</f>
        <v>9.3331125788390636</v>
      </c>
      <c r="G45" s="3">
        <f>E45/F45</f>
        <v>1.071453913742878</v>
      </c>
      <c r="H45" s="4">
        <f>E45/D45</f>
        <v>10</v>
      </c>
    </row>
    <row r="46" spans="2:8" x14ac:dyDescent="0.25">
      <c r="B46" t="str">
        <v>Antonin Barak</v>
      </c>
      <c r="C46" s="3">
        <f>AVERAGEIF(Sheet1!$H:$H,Planilha1!B46,Sheet1!X:X)</f>
        <v>1.0324937880277449</v>
      </c>
      <c r="D46">
        <f>COUNTIF(Sheet1!H:H,Planilha1!B46)</f>
        <v>1</v>
      </c>
      <c r="E46" s="3">
        <f>SUMIF(Sheet1!$H:$H,Planilha1!$B46,Sheet1!C:C)</f>
        <v>11</v>
      </c>
      <c r="F46" s="3">
        <f>SUMIF(Sheet1!$H:$H,Planilha1!$B46,Sheet1!O:O)</f>
        <v>10.65381712466478</v>
      </c>
      <c r="G46" s="3">
        <f>E46/F46</f>
        <v>1.0324937880277454</v>
      </c>
      <c r="H46" s="4">
        <f>E46/D46</f>
        <v>11</v>
      </c>
    </row>
    <row r="47" spans="2:8" x14ac:dyDescent="0.25">
      <c r="B47" t="str">
        <v>Antonio Candreva</v>
      </c>
      <c r="C47" s="3">
        <f>AVERAGEIF(Sheet1!$H:$H,Planilha1!B47,Sheet1!X:X)</f>
        <v>0.89943701689015088</v>
      </c>
      <c r="D47">
        <f>COUNTIF(Sheet1!H:H,Planilha1!B47)</f>
        <v>2</v>
      </c>
      <c r="E47" s="3">
        <f>SUMIF(Sheet1!$H:$H,Planilha1!$B47,Sheet1!C:C)</f>
        <v>20</v>
      </c>
      <c r="F47" s="3">
        <f>SUMIF(Sheet1!$H:$H,Planilha1!$B47,Sheet1!O:O)</f>
        <v>22.309742680750787</v>
      </c>
      <c r="G47" s="3">
        <f>E47/F47</f>
        <v>0.89646932670614476</v>
      </c>
      <c r="H47" s="4">
        <f>E47/D47</f>
        <v>10</v>
      </c>
    </row>
    <row r="48" spans="2:8" x14ac:dyDescent="0.25">
      <c r="B48" t="str">
        <v>Antonio Di Natale</v>
      </c>
      <c r="C48" s="3">
        <f>AVERAGEIF(Sheet1!$H:$H,Planilha1!B48,Sheet1!X:X)</f>
        <v>1.7539714520352261</v>
      </c>
      <c r="D48">
        <f>COUNTIF(Sheet1!H:H,Planilha1!B48)</f>
        <v>1</v>
      </c>
      <c r="E48" s="3">
        <f>SUMIF(Sheet1!$H:$H,Planilha1!$B48,Sheet1!C:C)</f>
        <v>14</v>
      </c>
      <c r="F48" s="3">
        <f>SUMIF(Sheet1!$H:$H,Planilha1!$B48,Sheet1!O:O)</f>
        <v>7.9818858988583088</v>
      </c>
      <c r="G48" s="3">
        <f>E48/F48</f>
        <v>1.7539714520352256</v>
      </c>
      <c r="H48" s="4">
        <f>E48/D48</f>
        <v>14</v>
      </c>
    </row>
    <row r="49" spans="2:8" x14ac:dyDescent="0.25">
      <c r="B49" t="str">
        <v>Antonio Sanabria</v>
      </c>
      <c r="C49" s="3">
        <f>AVERAGEIF(Sheet1!$H:$H,Planilha1!B49,Sheet1!X:X)</f>
        <v>0.98016658749899688</v>
      </c>
      <c r="D49">
        <f>COUNTIF(Sheet1!H:H,Planilha1!B49)</f>
        <v>2</v>
      </c>
      <c r="E49" s="3">
        <f>SUMIF(Sheet1!$H:$H,Planilha1!$B49,Sheet1!C:C)</f>
        <v>23</v>
      </c>
      <c r="F49" s="3">
        <f>SUMIF(Sheet1!$H:$H,Planilha1!$B49,Sheet1!O:O)</f>
        <v>23.49578780867159</v>
      </c>
      <c r="G49" s="3">
        <f>E49/F49</f>
        <v>0.97889886422584182</v>
      </c>
      <c r="H49" s="4">
        <f>E49/D49</f>
        <v>11.5</v>
      </c>
    </row>
    <row r="50" spans="2:8" x14ac:dyDescent="0.25">
      <c r="B50" t="str">
        <v>Anwar El Ghazi</v>
      </c>
      <c r="C50" s="3">
        <f>AVERAGEIF(Sheet1!$H:$H,Planilha1!B50,Sheet1!X:X)</f>
        <v>1.106499085099967</v>
      </c>
      <c r="D50">
        <f>COUNTIF(Sheet1!H:H,Planilha1!B50)</f>
        <v>1</v>
      </c>
      <c r="E50" s="3">
        <f>SUMIF(Sheet1!$H:$H,Planilha1!$B50,Sheet1!C:C)</f>
        <v>10</v>
      </c>
      <c r="F50" s="3">
        <f>SUMIF(Sheet1!$H:$H,Planilha1!$B50,Sheet1!O:O)</f>
        <v>9.0375131210312247</v>
      </c>
      <c r="G50" s="3">
        <f>E50/F50</f>
        <v>1.1064990850999672</v>
      </c>
      <c r="H50" s="4">
        <f>E50/D50</f>
        <v>10</v>
      </c>
    </row>
    <row r="51" spans="2:8" x14ac:dyDescent="0.25">
      <c r="B51" t="str">
        <v>Ari</v>
      </c>
      <c r="C51" s="3">
        <f>AVERAGEIF(Sheet1!$H:$H,Planilha1!B51,Sheet1!X:X)</f>
        <v>1.5823309754319359</v>
      </c>
      <c r="D51">
        <f>COUNTIF(Sheet1!H:H,Planilha1!B51)</f>
        <v>1</v>
      </c>
      <c r="E51" s="3">
        <f>SUMIF(Sheet1!$H:$H,Planilha1!$B51,Sheet1!C:C)</f>
        <v>10</v>
      </c>
      <c r="F51" s="3">
        <f>SUMIF(Sheet1!$H:$H,Planilha1!$B51,Sheet1!O:O)</f>
        <v>6.3197903316468</v>
      </c>
      <c r="G51" s="3">
        <f>E51/F51</f>
        <v>1.5823309754319361</v>
      </c>
      <c r="H51" s="4">
        <f>E51/D51</f>
        <v>10</v>
      </c>
    </row>
    <row r="52" spans="2:8" x14ac:dyDescent="0.25">
      <c r="B52" t="str">
        <v>Arjen Robben</v>
      </c>
      <c r="C52" s="3">
        <f>AVERAGEIF(Sheet1!$H:$H,Planilha1!B52,Sheet1!X:X)</f>
        <v>2.1300849008658269</v>
      </c>
      <c r="D52">
        <f>COUNTIF(Sheet1!H:H,Planilha1!B52)</f>
        <v>1</v>
      </c>
      <c r="E52" s="3">
        <f>SUMIF(Sheet1!$H:$H,Planilha1!$B52,Sheet1!C:C)</f>
        <v>13</v>
      </c>
      <c r="F52" s="3">
        <f>SUMIF(Sheet1!$H:$H,Planilha1!$B52,Sheet1!O:O)</f>
        <v>6.103043120354414</v>
      </c>
      <c r="G52" s="3">
        <f>E52/F52</f>
        <v>2.1300849008658269</v>
      </c>
      <c r="H52" s="4">
        <f>E52/D52</f>
        <v>13</v>
      </c>
    </row>
    <row r="53" spans="2:8" x14ac:dyDescent="0.25">
      <c r="B53" t="str">
        <v>Arkadiusz Milik</v>
      </c>
      <c r="C53" s="3">
        <f>AVERAGEIF(Sheet1!$H:$H,Planilha1!B53,Sheet1!X:X)</f>
        <v>1.1012514148829817</v>
      </c>
      <c r="D53">
        <f>COUNTIF(Sheet1!H:H,Planilha1!B53)</f>
        <v>2</v>
      </c>
      <c r="E53" s="3">
        <f>SUMIF(Sheet1!$H:$H,Planilha1!$B53,Sheet1!C:C)</f>
        <v>28</v>
      </c>
      <c r="F53" s="3">
        <f>SUMIF(Sheet1!$H:$H,Planilha1!$B53,Sheet1!O:O)</f>
        <v>25.13390574418008</v>
      </c>
      <c r="G53" s="3">
        <f>E53/F53</f>
        <v>1.1140329833728124</v>
      </c>
      <c r="H53" s="4">
        <f>E53/D53</f>
        <v>14</v>
      </c>
    </row>
    <row r="54" spans="2:8" x14ac:dyDescent="0.25">
      <c r="B54" t="str">
        <v>Arnaud Kalimuendo Muinga</v>
      </c>
      <c r="C54" s="3">
        <f>AVERAGEIF(Sheet1!$H:$H,Planilha1!B54,Sheet1!X:X)</f>
        <v>1.1137828214848762</v>
      </c>
      <c r="D54">
        <f>COUNTIF(Sheet1!H:H,Planilha1!B54)</f>
        <v>3</v>
      </c>
      <c r="E54" s="3">
        <f>SUMIF(Sheet1!$H:$H,Planilha1!$B54,Sheet1!C:C)</f>
        <v>39</v>
      </c>
      <c r="F54" s="3">
        <f>SUMIF(Sheet1!$H:$H,Planilha1!$B54,Sheet1!O:O)</f>
        <v>36.467343968339264</v>
      </c>
      <c r="G54" s="3">
        <f>E54/F54</f>
        <v>1.069449972387887</v>
      </c>
      <c r="H54" s="4">
        <f>E54/D54</f>
        <v>13</v>
      </c>
    </row>
    <row r="55" spans="2:8" x14ac:dyDescent="0.25">
      <c r="B55" t="str">
        <v>Arnaut Danjuma Groeneveld</v>
      </c>
      <c r="C55" s="3">
        <f>AVERAGEIF(Sheet1!$H:$H,Planilha1!B55,Sheet1!X:X)</f>
        <v>0.77987879961743678</v>
      </c>
      <c r="D55">
        <f>COUNTIF(Sheet1!H:H,Planilha1!B55)</f>
        <v>1</v>
      </c>
      <c r="E55" s="3">
        <f>SUMIF(Sheet1!$H:$H,Planilha1!$B55,Sheet1!C:C)</f>
        <v>10</v>
      </c>
      <c r="F55" s="3">
        <f>SUMIF(Sheet1!$H:$H,Planilha1!$B55,Sheet1!O:O)</f>
        <v>12.82250524684787</v>
      </c>
      <c r="G55" s="3">
        <f>E55/F55</f>
        <v>0.77987879961743667</v>
      </c>
      <c r="H55" s="4">
        <f>E55/D55</f>
        <v>10</v>
      </c>
    </row>
    <row r="56" spans="2:8" x14ac:dyDescent="0.25">
      <c r="B56" t="str">
        <v>Artem Dovbyk</v>
      </c>
      <c r="C56" s="3">
        <f>AVERAGEIF(Sheet1!$H:$H,Planilha1!B56,Sheet1!X:X)</f>
        <v>0.93269275404115937</v>
      </c>
      <c r="D56">
        <f>COUNTIF(Sheet1!H:H,Planilha1!B56)</f>
        <v>2</v>
      </c>
      <c r="E56" s="3">
        <f>SUMIF(Sheet1!$H:$H,Planilha1!$B56,Sheet1!C:C)</f>
        <v>36</v>
      </c>
      <c r="F56" s="3">
        <f>SUMIF(Sheet1!$H:$H,Planilha1!$B56,Sheet1!O:O)</f>
        <v>37.668690262362361</v>
      </c>
      <c r="G56" s="3">
        <f>E56/F56</f>
        <v>0.95570086852662151</v>
      </c>
      <c r="H56" s="4">
        <f>E56/D56</f>
        <v>18</v>
      </c>
    </row>
    <row r="57" spans="2:8" x14ac:dyDescent="0.25">
      <c r="B57" t="str">
        <v>Artem Dzyuba</v>
      </c>
      <c r="C57" s="3">
        <f>AVERAGEIF(Sheet1!$H:$H,Planilha1!B57,Sheet1!X:X)</f>
        <v>1.1912396072245444</v>
      </c>
      <c r="D57">
        <f>COUNTIF(Sheet1!H:H,Planilha1!B57)</f>
        <v>5</v>
      </c>
      <c r="E57" s="3">
        <f>SUMIF(Sheet1!$H:$H,Planilha1!$B57,Sheet1!C:C)</f>
        <v>76</v>
      </c>
      <c r="F57" s="3">
        <f>SUMIF(Sheet1!$H:$H,Planilha1!$B57,Sheet1!O:O)</f>
        <v>64.349636516533792</v>
      </c>
      <c r="G57" s="3">
        <f>E57/F57</f>
        <v>1.1810478522356969</v>
      </c>
      <c r="H57" s="4">
        <f>E57/D57</f>
        <v>15.2</v>
      </c>
    </row>
    <row r="58" spans="2:8" x14ac:dyDescent="0.25">
      <c r="B58" t="str">
        <v>Ashley Barnes</v>
      </c>
      <c r="C58" s="3">
        <f>AVERAGEIF(Sheet1!$H:$H,Planilha1!B58,Sheet1!X:X)</f>
        <v>0.90514669467565856</v>
      </c>
      <c r="D58">
        <f>COUNTIF(Sheet1!H:H,Planilha1!B58)</f>
        <v>1</v>
      </c>
      <c r="E58" s="3">
        <f>SUMIF(Sheet1!$H:$H,Planilha1!$B58,Sheet1!C:C)</f>
        <v>12</v>
      </c>
      <c r="F58" s="3">
        <f>SUMIF(Sheet1!$H:$H,Planilha1!$B58,Sheet1!O:O)</f>
        <v>13.257519549690191</v>
      </c>
      <c r="G58" s="3">
        <f>E58/F58</f>
        <v>0.90514669467565845</v>
      </c>
      <c r="H58" s="4">
        <f>E58/D58</f>
        <v>12</v>
      </c>
    </row>
    <row r="59" spans="2:8" x14ac:dyDescent="0.25">
      <c r="B59" t="str">
        <v>Ayoze Pérez</v>
      </c>
      <c r="C59" s="3">
        <f>AVERAGEIF(Sheet1!$H:$H,Planilha1!B59,Sheet1!X:X)</f>
        <v>1.3472029429521841</v>
      </c>
      <c r="D59">
        <f>COUNTIF(Sheet1!H:H,Planilha1!B59)</f>
        <v>2</v>
      </c>
      <c r="E59" s="3">
        <f>SUMIF(Sheet1!$H:$H,Planilha1!$B59,Sheet1!C:C)</f>
        <v>31</v>
      </c>
      <c r="F59" s="3">
        <f>SUMIF(Sheet1!$H:$H,Planilha1!$B59,Sheet1!O:O)</f>
        <v>23.522737978957593</v>
      </c>
      <c r="G59" s="3">
        <f>E59/F59</f>
        <v>1.3178737963127947</v>
      </c>
      <c r="H59" s="4">
        <f>E59/D59</f>
        <v>15.5</v>
      </c>
    </row>
    <row r="60" spans="2:8" x14ac:dyDescent="0.25">
      <c r="B60" t="str">
        <v>Bafétimbi Gomis</v>
      </c>
      <c r="C60" s="3">
        <f>AVERAGEIF(Sheet1!$H:$H,Planilha1!B60,Sheet1!X:X)</f>
        <v>1.0810906759248791</v>
      </c>
      <c r="D60">
        <f>COUNTIF(Sheet1!H:H,Planilha1!B60)</f>
        <v>1</v>
      </c>
      <c r="E60" s="3">
        <f>SUMIF(Sheet1!$H:$H,Planilha1!$B60,Sheet1!C:C)</f>
        <v>20</v>
      </c>
      <c r="F60" s="3">
        <f>SUMIF(Sheet1!$H:$H,Planilha1!$B60,Sheet1!O:O)</f>
        <v>18.49983580969274</v>
      </c>
      <c r="G60" s="3">
        <f>E60/F60</f>
        <v>1.0810906759248786</v>
      </c>
      <c r="H60" s="4">
        <f>E60/D60</f>
        <v>20</v>
      </c>
    </row>
    <row r="61" spans="2:8" x14ac:dyDescent="0.25">
      <c r="B61" t="str">
        <v>Bas Dost</v>
      </c>
      <c r="C61" s="3">
        <f>AVERAGEIF(Sheet1!$H:$H,Planilha1!B61,Sheet1!X:X)</f>
        <v>1.4106884462119871</v>
      </c>
      <c r="D61">
        <f>COUNTIF(Sheet1!H:H,Planilha1!B61)</f>
        <v>1</v>
      </c>
      <c r="E61" s="3">
        <f>SUMIF(Sheet1!$H:$H,Planilha1!$B61,Sheet1!C:C)</f>
        <v>16</v>
      </c>
      <c r="F61" s="3">
        <f>SUMIF(Sheet1!$H:$H,Planilha1!$B61,Sheet1!O:O)</f>
        <v>11.34197989851236</v>
      </c>
      <c r="G61" s="3">
        <f>E61/F61</f>
        <v>1.4106884462119877</v>
      </c>
      <c r="H61" s="4">
        <f>E61/D61</f>
        <v>16</v>
      </c>
    </row>
    <row r="62" spans="2:8" x14ac:dyDescent="0.25">
      <c r="B62" t="str">
        <v>Benito Raman</v>
      </c>
      <c r="C62" s="3">
        <f>AVERAGEIF(Sheet1!$H:$H,Planilha1!B62,Sheet1!X:X)</f>
        <v>1.291036126604552</v>
      </c>
      <c r="D62">
        <f>COUNTIF(Sheet1!H:H,Planilha1!B62)</f>
        <v>1</v>
      </c>
      <c r="E62" s="3">
        <f>SUMIF(Sheet1!$H:$H,Planilha1!$B62,Sheet1!C:C)</f>
        <v>10</v>
      </c>
      <c r="F62" s="3">
        <f>SUMIF(Sheet1!$H:$H,Planilha1!$B62,Sheet1!O:O)</f>
        <v>7.7457166332751513</v>
      </c>
      <c r="G62" s="3">
        <f>E62/F62</f>
        <v>1.2910361266045516</v>
      </c>
      <c r="H62" s="4">
        <f>E62/D62</f>
        <v>10</v>
      </c>
    </row>
    <row r="63" spans="2:8" x14ac:dyDescent="0.25">
      <c r="B63" t="str">
        <v>Benjamin Bourigeaud</v>
      </c>
      <c r="C63" s="3">
        <f>AVERAGEIF(Sheet1!$H:$H,Planilha1!B63,Sheet1!X:X)</f>
        <v>1.601873370439322</v>
      </c>
      <c r="D63">
        <f>COUNTIF(Sheet1!H:H,Planilha1!B63)</f>
        <v>2</v>
      </c>
      <c r="E63" s="3">
        <f>SUMIF(Sheet1!$H:$H,Planilha1!$B63,Sheet1!C:C)</f>
        <v>21</v>
      </c>
      <c r="F63" s="3">
        <f>SUMIF(Sheet1!$H:$H,Planilha1!$B63,Sheet1!O:O)</f>
        <v>13.916079633869231</v>
      </c>
      <c r="G63" s="3">
        <f>E63/F63</f>
        <v>1.5090456904895675</v>
      </c>
      <c r="H63" s="4">
        <f>E63/D63</f>
        <v>10.5</v>
      </c>
    </row>
    <row r="64" spans="2:8" x14ac:dyDescent="0.25">
      <c r="B64" t="str">
        <v>Benjamin Moukandjo</v>
      </c>
      <c r="C64" s="3">
        <f>AVERAGEIF(Sheet1!$H:$H,Planilha1!B64,Sheet1!X:X)</f>
        <v>1.2191648318041919</v>
      </c>
      <c r="D64">
        <f>COUNTIF(Sheet1!H:H,Planilha1!B64)</f>
        <v>2</v>
      </c>
      <c r="E64" s="3">
        <f>SUMIF(Sheet1!$H:$H,Planilha1!$B64,Sheet1!C:C)</f>
        <v>26</v>
      </c>
      <c r="F64" s="3">
        <f>SUMIF(Sheet1!$H:$H,Planilha1!$B64,Sheet1!O:O)</f>
        <v>21.37038007937371</v>
      </c>
      <c r="G64" s="3">
        <f>E64/F64</f>
        <v>1.2166372288855412</v>
      </c>
      <c r="H64" s="4">
        <f>E64/D64</f>
        <v>13</v>
      </c>
    </row>
    <row r="65" spans="2:8" x14ac:dyDescent="0.25">
      <c r="B65" t="str">
        <v>Benjamin Sesko</v>
      </c>
      <c r="C65" s="3">
        <f>AVERAGEIF(Sheet1!$H:$H,Planilha1!B65,Sheet1!X:X)</f>
        <v>1.4137677451905546</v>
      </c>
      <c r="D65">
        <f>COUNTIF(Sheet1!H:H,Planilha1!B65)</f>
        <v>2</v>
      </c>
      <c r="E65" s="3">
        <f>SUMIF(Sheet1!$H:$H,Planilha1!$B65,Sheet1!C:C)</f>
        <v>27</v>
      </c>
      <c r="F65" s="3">
        <f>SUMIF(Sheet1!$H:$H,Planilha1!$B65,Sheet1!O:O)</f>
        <v>19.439364465884864</v>
      </c>
      <c r="G65" s="3">
        <f>E65/F65</f>
        <v>1.3889342960457212</v>
      </c>
      <c r="H65" s="4">
        <f>E65/D65</f>
        <v>13.5</v>
      </c>
    </row>
    <row r="66" spans="2:8" x14ac:dyDescent="0.25">
      <c r="B66" t="str">
        <v>Bertrand Traoré</v>
      </c>
      <c r="C66" s="3">
        <f>AVERAGEIF(Sheet1!$H:$H,Planilha1!B66,Sheet1!X:X)</f>
        <v>1.427486578925931</v>
      </c>
      <c r="D66">
        <f>COUNTIF(Sheet1!H:H,Planilha1!B66)</f>
        <v>1</v>
      </c>
      <c r="E66" s="3">
        <f>SUMIF(Sheet1!$H:$H,Planilha1!$B66,Sheet1!C:C)</f>
        <v>13</v>
      </c>
      <c r="F66" s="3">
        <f>SUMIF(Sheet1!$H:$H,Planilha1!$B66,Sheet1!O:O)</f>
        <v>9.1069157440215367</v>
      </c>
      <c r="G66" s="3">
        <f>E66/F66</f>
        <v>1.4274865789259308</v>
      </c>
      <c r="H66" s="4">
        <f>E66/D66</f>
        <v>13</v>
      </c>
    </row>
    <row r="67" spans="2:8" x14ac:dyDescent="0.25">
      <c r="B67" t="str">
        <v>Beto</v>
      </c>
      <c r="C67" s="3">
        <f>AVERAGEIF(Sheet1!$H:$H,Planilha1!B67,Sheet1!X:X)</f>
        <v>0.87467624963424084</v>
      </c>
      <c r="D67">
        <f>COUNTIF(Sheet1!H:H,Planilha1!B67)</f>
        <v>2</v>
      </c>
      <c r="E67" s="3">
        <f>SUMIF(Sheet1!$H:$H,Planilha1!$B67,Sheet1!C:C)</f>
        <v>21</v>
      </c>
      <c r="F67" s="3">
        <f>SUMIF(Sheet1!$H:$H,Planilha1!$B67,Sheet1!O:O)</f>
        <v>24.13800454698503</v>
      </c>
      <c r="G67" s="3">
        <f>E67/F67</f>
        <v>0.86999735040745174</v>
      </c>
      <c r="H67" s="4">
        <f>E67/D67</f>
        <v>10.5</v>
      </c>
    </row>
    <row r="68" spans="2:8" x14ac:dyDescent="0.25">
      <c r="B68" t="str">
        <v>Borja Bastón</v>
      </c>
      <c r="C68" s="3">
        <f>AVERAGEIF(Sheet1!$H:$H,Planilha1!B68,Sheet1!X:X)</f>
        <v>0.97078478245081246</v>
      </c>
      <c r="D68">
        <f>COUNTIF(Sheet1!H:H,Planilha1!B68)</f>
        <v>1</v>
      </c>
      <c r="E68" s="3">
        <f>SUMIF(Sheet1!$H:$H,Planilha1!$B68,Sheet1!C:C)</f>
        <v>18</v>
      </c>
      <c r="F68" s="3">
        <f>SUMIF(Sheet1!$H:$H,Planilha1!$B68,Sheet1!O:O)</f>
        <v>18.54169979318976</v>
      </c>
      <c r="G68" s="3">
        <f>E68/F68</f>
        <v>0.97078478245081268</v>
      </c>
      <c r="H68" s="4">
        <f>E68/D68</f>
        <v>18</v>
      </c>
    </row>
    <row r="69" spans="2:8" x14ac:dyDescent="0.25">
      <c r="B69" t="str">
        <v>Borja Iglesias</v>
      </c>
      <c r="C69" s="3">
        <f>AVERAGEIF(Sheet1!$H:$H,Planilha1!B69,Sheet1!X:X)</f>
        <v>1.0779706889903613</v>
      </c>
      <c r="D69">
        <f>COUNTIF(Sheet1!H:H,Planilha1!B69)</f>
        <v>5</v>
      </c>
      <c r="E69" s="3">
        <f>SUMIF(Sheet1!$H:$H,Planilha1!$B69,Sheet1!C:C)</f>
        <v>64</v>
      </c>
      <c r="F69" s="3">
        <f>SUMIF(Sheet1!$H:$H,Planilha1!$B69,Sheet1!O:O)</f>
        <v>60.482123910449438</v>
      </c>
      <c r="G69" s="3">
        <f>E69/F69</f>
        <v>1.0581638980595187</v>
      </c>
      <c r="H69" s="4">
        <f>E69/D69</f>
        <v>12.8</v>
      </c>
    </row>
    <row r="70" spans="2:8" x14ac:dyDescent="0.25">
      <c r="B70" t="str">
        <v>Borja Mayoral</v>
      </c>
      <c r="C70" s="3">
        <f>AVERAGEIF(Sheet1!$H:$H,Planilha1!B70,Sheet1!X:X)</f>
        <v>1.2764440645728785</v>
      </c>
      <c r="D70">
        <f>COUNTIF(Sheet1!H:H,Planilha1!B70)</f>
        <v>2</v>
      </c>
      <c r="E70" s="3">
        <f>SUMIF(Sheet1!$H:$H,Planilha1!$B70,Sheet1!C:C)</f>
        <v>25</v>
      </c>
      <c r="F70" s="3">
        <f>SUMIF(Sheet1!$H:$H,Planilha1!$B70,Sheet1!O:O)</f>
        <v>19.595778865739707</v>
      </c>
      <c r="G70" s="3">
        <f>E70/F70</f>
        <v>1.2757849622251436</v>
      </c>
      <c r="H70" s="4">
        <f>E70/D70</f>
        <v>12.5</v>
      </c>
    </row>
    <row r="71" spans="2:8" x14ac:dyDescent="0.25">
      <c r="B71" t="str">
        <v>Boulaye Dia</v>
      </c>
      <c r="C71" s="3">
        <f>AVERAGEIF(Sheet1!$H:$H,Planilha1!B71,Sheet1!X:X)</f>
        <v>1.4037411417853134</v>
      </c>
      <c r="D71">
        <f>COUNTIF(Sheet1!H:H,Planilha1!B71)</f>
        <v>2</v>
      </c>
      <c r="E71" s="3">
        <f>SUMIF(Sheet1!$H:$H,Planilha1!$B71,Sheet1!C:C)</f>
        <v>30</v>
      </c>
      <c r="F71" s="3">
        <f>SUMIF(Sheet1!$H:$H,Planilha1!$B71,Sheet1!O:O)</f>
        <v>22.410826198756702</v>
      </c>
      <c r="G71" s="3">
        <f>E71/F71</f>
        <v>1.3386387335271168</v>
      </c>
      <c r="H71" s="4">
        <f>E71/D71</f>
        <v>15</v>
      </c>
    </row>
    <row r="72" spans="2:8" x14ac:dyDescent="0.25">
      <c r="B72" t="str">
        <v>Bradley Barcola</v>
      </c>
      <c r="C72" s="3">
        <f>AVERAGEIF(Sheet1!$H:$H,Planilha1!B72,Sheet1!X:X)</f>
        <v>0.9124862601103747</v>
      </c>
      <c r="D72">
        <f>COUNTIF(Sheet1!H:H,Planilha1!B72)</f>
        <v>1</v>
      </c>
      <c r="E72" s="3">
        <f>SUMIF(Sheet1!$H:$H,Planilha1!$B72,Sheet1!C:C)</f>
        <v>14</v>
      </c>
      <c r="F72" s="3">
        <f>SUMIF(Sheet1!$H:$H,Planilha1!$B72,Sheet1!O:O)</f>
        <v>15.34269677475095</v>
      </c>
      <c r="G72" s="3">
        <f>E72/F72</f>
        <v>0.91248626011037459</v>
      </c>
      <c r="H72" s="4">
        <f>E72/D72</f>
        <v>14</v>
      </c>
    </row>
    <row r="73" spans="2:8" x14ac:dyDescent="0.25">
      <c r="B73" t="str">
        <v>Breel Embolo</v>
      </c>
      <c r="C73" s="3">
        <f>AVERAGEIF(Sheet1!$H:$H,Planilha1!B73,Sheet1!X:X)</f>
        <v>1.1183052997492819</v>
      </c>
      <c r="D73">
        <f>COUNTIF(Sheet1!H:H,Planilha1!B73)</f>
        <v>1</v>
      </c>
      <c r="E73" s="3">
        <f>SUMIF(Sheet1!$H:$H,Planilha1!$B73,Sheet1!C:C)</f>
        <v>12</v>
      </c>
      <c r="F73" s="3">
        <f>SUMIF(Sheet1!$H:$H,Planilha1!$B73,Sheet1!O:O)</f>
        <v>10.73052233830094</v>
      </c>
      <c r="G73" s="3">
        <f>E73/F73</f>
        <v>1.1183052997492822</v>
      </c>
      <c r="H73" s="4">
        <f>E73/D73</f>
        <v>12</v>
      </c>
    </row>
    <row r="74" spans="2:8" x14ac:dyDescent="0.25">
      <c r="B74" t="str">
        <v>Brennan Johnson</v>
      </c>
      <c r="C74" s="3">
        <f>AVERAGEIF(Sheet1!$H:$H,Planilha1!B74,Sheet1!X:X)</f>
        <v>0.98543188448936392</v>
      </c>
      <c r="D74">
        <f>COUNTIF(Sheet1!H:H,Planilha1!B74)</f>
        <v>1</v>
      </c>
      <c r="E74" s="3">
        <f>SUMIF(Sheet1!$H:$H,Planilha1!$B74,Sheet1!C:C)</f>
        <v>11</v>
      </c>
      <c r="F74" s="3">
        <f>SUMIF(Sheet1!$H:$H,Planilha1!$B74,Sheet1!O:O)</f>
        <v>11.1626183129847</v>
      </c>
      <c r="G74" s="3">
        <f>E74/F74</f>
        <v>0.98543188448936425</v>
      </c>
      <c r="H74" s="4">
        <f>E74/D74</f>
        <v>11</v>
      </c>
    </row>
    <row r="75" spans="2:8" x14ac:dyDescent="0.25">
      <c r="B75" t="str">
        <v>Bruno Fernandes</v>
      </c>
      <c r="C75" s="3">
        <f>AVERAGEIF(Sheet1!$H:$H,Planilha1!B75,Sheet1!X:X)</f>
        <v>1.0037631464591779</v>
      </c>
      <c r="D75">
        <f>COUNTIF(Sheet1!H:H,Planilha1!B75)</f>
        <v>2</v>
      </c>
      <c r="E75" s="3">
        <f>SUMIF(Sheet1!$H:$H,Planilha1!$B75,Sheet1!C:C)</f>
        <v>20</v>
      </c>
      <c r="F75" s="3">
        <f>SUMIF(Sheet1!$H:$H,Planilha1!$B75,Sheet1!O:O)</f>
        <v>20.031571499072015</v>
      </c>
      <c r="G75" s="3">
        <f>E75/F75</f>
        <v>0.99842391301783395</v>
      </c>
      <c r="H75" s="4">
        <f>E75/D75</f>
        <v>10</v>
      </c>
    </row>
    <row r="76" spans="2:8" x14ac:dyDescent="0.25">
      <c r="B76" t="str">
        <v>Bukayo Saka</v>
      </c>
      <c r="C76" s="3">
        <f>AVERAGEIF(Sheet1!$H:$H,Planilha1!B76,Sheet1!X:X)</f>
        <v>1.1004541201318594</v>
      </c>
      <c r="D76">
        <f>COUNTIF(Sheet1!H:H,Planilha1!B76)</f>
        <v>3</v>
      </c>
      <c r="E76" s="3">
        <f>SUMIF(Sheet1!$H:$H,Planilha1!$B76,Sheet1!C:C)</f>
        <v>41</v>
      </c>
      <c r="F76" s="3">
        <f>SUMIF(Sheet1!$H:$H,Planilha1!$B76,Sheet1!O:O)</f>
        <v>38.013011984527118</v>
      </c>
      <c r="G76" s="3">
        <f>E76/F76</f>
        <v>1.0785780410320738</v>
      </c>
      <c r="H76" s="4">
        <f>E76/D76</f>
        <v>13.666666666666666</v>
      </c>
    </row>
    <row r="77" spans="2:8" x14ac:dyDescent="0.25">
      <c r="B77" t="str">
        <v>Burak Yilmaz</v>
      </c>
      <c r="C77" s="3">
        <f>AVERAGEIF(Sheet1!$H:$H,Planilha1!B77,Sheet1!X:X)</f>
        <v>1.537472652753163</v>
      </c>
      <c r="D77">
        <f>COUNTIF(Sheet1!H:H,Planilha1!B77)</f>
        <v>1</v>
      </c>
      <c r="E77" s="3">
        <f>SUMIF(Sheet1!$H:$H,Planilha1!$B77,Sheet1!C:C)</f>
        <v>16</v>
      </c>
      <c r="F77" s="3">
        <f>SUMIF(Sheet1!$H:$H,Planilha1!$B77,Sheet1!O:O)</f>
        <v>10.4066891670227</v>
      </c>
      <c r="G77" s="3">
        <f>E77/F77</f>
        <v>1.5374726527531635</v>
      </c>
      <c r="H77" s="4">
        <f>E77/D77</f>
        <v>16</v>
      </c>
    </row>
    <row r="78" spans="2:8" x14ac:dyDescent="0.25">
      <c r="B78" t="str">
        <v>Callum Wilson</v>
      </c>
      <c r="C78" s="3">
        <f>AVERAGEIF(Sheet1!$H:$H,Planilha1!B78,Sheet1!X:X)</f>
        <v>0.90388629534764375</v>
      </c>
      <c r="D78">
        <f>COUNTIF(Sheet1!H:H,Planilha1!B78)</f>
        <v>3</v>
      </c>
      <c r="E78" s="3">
        <f>SUMIF(Sheet1!$H:$H,Planilha1!$B78,Sheet1!C:C)</f>
        <v>44</v>
      </c>
      <c r="F78" s="3">
        <f>SUMIF(Sheet1!$H:$H,Planilha1!$B78,Sheet1!O:O)</f>
        <v>48.463367536664009</v>
      </c>
      <c r="G78" s="3">
        <f>E78/F78</f>
        <v>0.90790224114559648</v>
      </c>
      <c r="H78" s="4">
        <f>E78/D78</f>
        <v>14.666666666666666</v>
      </c>
    </row>
    <row r="79" spans="2:8" x14ac:dyDescent="0.25">
      <c r="B79" t="str">
        <v>Carlos Bacca</v>
      </c>
      <c r="C79" s="3">
        <f>AVERAGEIF(Sheet1!$H:$H,Planilha1!B79,Sheet1!X:X)</f>
        <v>1.041267844924443</v>
      </c>
      <c r="D79">
        <f>COUNTIF(Sheet1!H:H,Planilha1!B79)</f>
        <v>4</v>
      </c>
      <c r="E79" s="3">
        <f>SUMIF(Sheet1!$H:$H,Planilha1!$B79,Sheet1!C:C)</f>
        <v>66</v>
      </c>
      <c r="F79" s="3">
        <f>SUMIF(Sheet1!$H:$H,Planilha1!$B79,Sheet1!O:O)</f>
        <v>63.39789919834584</v>
      </c>
      <c r="G79" s="3">
        <f>E79/F79</f>
        <v>1.0410439594143848</v>
      </c>
      <c r="H79" s="4">
        <f>E79/D79</f>
        <v>16.5</v>
      </c>
    </row>
    <row r="80" spans="2:8" x14ac:dyDescent="0.25">
      <c r="B80" t="str">
        <v>Carlos Eduardo</v>
      </c>
      <c r="C80" s="3">
        <f>AVERAGEIF(Sheet1!$H:$H,Planilha1!B80,Sheet1!X:X)</f>
        <v>0.99598489704402671</v>
      </c>
      <c r="D80">
        <f>COUNTIF(Sheet1!H:H,Planilha1!B80)</f>
        <v>1</v>
      </c>
      <c r="E80" s="3">
        <f>SUMIF(Sheet1!$H:$H,Planilha1!$B80,Sheet1!C:C)</f>
        <v>10</v>
      </c>
      <c r="F80" s="3">
        <f>SUMIF(Sheet1!$H:$H,Planilha1!$B80,Sheet1!O:O)</f>
        <v>10.04031288996339</v>
      </c>
      <c r="G80" s="3">
        <f>E80/F80</f>
        <v>0.9959848970440266</v>
      </c>
      <c r="H80" s="4">
        <f>E80/D80</f>
        <v>10</v>
      </c>
    </row>
    <row r="81" spans="2:8" x14ac:dyDescent="0.25">
      <c r="B81" t="str">
        <v>Carlos Fernández</v>
      </c>
      <c r="C81" s="3">
        <f>AVERAGEIF(Sheet1!$H:$H,Planilha1!B81,Sheet1!X:X)</f>
        <v>1.1209069240908931</v>
      </c>
      <c r="D81">
        <f>COUNTIF(Sheet1!H:H,Planilha1!B81)</f>
        <v>1</v>
      </c>
      <c r="E81" s="3">
        <f>SUMIF(Sheet1!$H:$H,Planilha1!$B81,Sheet1!C:C)</f>
        <v>11</v>
      </c>
      <c r="F81" s="3">
        <f>SUMIF(Sheet1!$H:$H,Planilha1!$B81,Sheet1!O:O)</f>
        <v>9.8134820684790594</v>
      </c>
      <c r="G81" s="3">
        <f>E81/F81</f>
        <v>1.1209069240908933</v>
      </c>
      <c r="H81" s="4">
        <f>E81/D81</f>
        <v>11</v>
      </c>
    </row>
    <row r="82" spans="2:8" x14ac:dyDescent="0.25">
      <c r="B82" t="str">
        <v>Carlos Tévez</v>
      </c>
      <c r="C82" s="3">
        <f>AVERAGEIF(Sheet1!$H:$H,Planilha1!B82,Sheet1!X:X)</f>
        <v>1.4956465586391321</v>
      </c>
      <c r="D82">
        <f>COUNTIF(Sheet1!H:H,Planilha1!B82)</f>
        <v>1</v>
      </c>
      <c r="E82" s="3">
        <f>SUMIF(Sheet1!$H:$H,Planilha1!$B82,Sheet1!C:C)</f>
        <v>20</v>
      </c>
      <c r="F82" s="3">
        <f>SUMIF(Sheet1!$H:$H,Planilha1!$B82,Sheet1!O:O)</f>
        <v>13.37214322760701</v>
      </c>
      <c r="G82" s="3">
        <f>E82/F82</f>
        <v>1.4956465586391321</v>
      </c>
      <c r="H82" s="4">
        <f>E82/D82</f>
        <v>20</v>
      </c>
    </row>
    <row r="83" spans="2:8" x14ac:dyDescent="0.25">
      <c r="B83" t="str">
        <v>Carlton Morris</v>
      </c>
      <c r="C83" s="3">
        <f>AVERAGEIF(Sheet1!$H:$H,Planilha1!B83,Sheet1!X:X)</f>
        <v>0.89381907802756477</v>
      </c>
      <c r="D83">
        <f>COUNTIF(Sheet1!H:H,Planilha1!B83)</f>
        <v>1</v>
      </c>
      <c r="E83" s="3">
        <f>SUMIF(Sheet1!$H:$H,Planilha1!$B83,Sheet1!C:C)</f>
        <v>11</v>
      </c>
      <c r="F83" s="3">
        <f>SUMIF(Sheet1!$H:$H,Planilha1!$B83,Sheet1!O:O)</f>
        <v>12.30674111843109</v>
      </c>
      <c r="G83" s="3">
        <f>E83/F83</f>
        <v>0.89381907802756499</v>
      </c>
      <c r="H83" s="4">
        <f>E83/D83</f>
        <v>11</v>
      </c>
    </row>
    <row r="84" spans="2:8" x14ac:dyDescent="0.25">
      <c r="B84" t="str">
        <v>Cédric Bakambu</v>
      </c>
      <c r="C84" s="3">
        <f>AVERAGEIF(Sheet1!$H:$H,Planilha1!B84,Sheet1!X:X)</f>
        <v>1.2512289999644965</v>
      </c>
      <c r="D84">
        <f>COUNTIF(Sheet1!H:H,Planilha1!B84)</f>
        <v>2</v>
      </c>
      <c r="E84" s="3">
        <f>SUMIF(Sheet1!$H:$H,Planilha1!$B84,Sheet1!C:C)</f>
        <v>23</v>
      </c>
      <c r="F84" s="3">
        <f>SUMIF(Sheet1!$H:$H,Planilha1!$B84,Sheet1!O:O)</f>
        <v>18.499416097998619</v>
      </c>
      <c r="G84" s="3">
        <f>E84/F84</f>
        <v>1.2432824840611203</v>
      </c>
      <c r="H84" s="4">
        <f>E84/D84</f>
        <v>11.5</v>
      </c>
    </row>
    <row r="85" spans="2:8" x14ac:dyDescent="0.25">
      <c r="B85" t="str">
        <v>Cengiz Ünder</v>
      </c>
      <c r="C85" s="3">
        <f>AVERAGEIF(Sheet1!$H:$H,Planilha1!B85,Sheet1!X:X)</f>
        <v>1.661528835442865</v>
      </c>
      <c r="D85">
        <f>COUNTIF(Sheet1!H:H,Planilha1!B85)</f>
        <v>1</v>
      </c>
      <c r="E85" s="3">
        <f>SUMIF(Sheet1!$H:$H,Planilha1!$B85,Sheet1!C:C)</f>
        <v>10</v>
      </c>
      <c r="F85" s="3">
        <f>SUMIF(Sheet1!$H:$H,Planilha1!$B85,Sheet1!O:O)</f>
        <v>6.0185533869080254</v>
      </c>
      <c r="G85" s="3">
        <f>E85/F85</f>
        <v>1.6615288354428646</v>
      </c>
      <c r="H85" s="4">
        <f>E85/D85</f>
        <v>10</v>
      </c>
    </row>
    <row r="86" spans="2:8" x14ac:dyDescent="0.25">
      <c r="B86" t="str">
        <v>Charles</v>
      </c>
      <c r="C86" s="3">
        <f>AVERAGEIF(Sheet1!$H:$H,Planilha1!B86,Sheet1!X:X)</f>
        <v>1.0908074756999055</v>
      </c>
      <c r="D86">
        <f>COUNTIF(Sheet1!H:H,Planilha1!B86)</f>
        <v>2</v>
      </c>
      <c r="E86" s="3">
        <f>SUMIF(Sheet1!$H:$H,Planilha1!$B86,Sheet1!C:C)</f>
        <v>26</v>
      </c>
      <c r="F86" s="3">
        <f>SUMIF(Sheet1!$H:$H,Planilha1!$B86,Sheet1!O:O)</f>
        <v>23.829578320495777</v>
      </c>
      <c r="G86" s="3">
        <f>E86/F86</f>
        <v>1.0910809939778685</v>
      </c>
      <c r="H86" s="4">
        <f>E86/D86</f>
        <v>13</v>
      </c>
    </row>
    <row r="87" spans="2:8" x14ac:dyDescent="0.25">
      <c r="B87" t="str">
        <v>Charles De Ketelaere</v>
      </c>
      <c r="C87" s="3">
        <f>AVERAGEIF(Sheet1!$H:$H,Planilha1!B87,Sheet1!X:X)</f>
        <v>1.319807272623039</v>
      </c>
      <c r="D87">
        <f>COUNTIF(Sheet1!H:H,Planilha1!B87)</f>
        <v>1</v>
      </c>
      <c r="E87" s="3">
        <f>SUMIF(Sheet1!$H:$H,Planilha1!$B87,Sheet1!C:C)</f>
        <v>10</v>
      </c>
      <c r="F87" s="3">
        <f>SUMIF(Sheet1!$H:$H,Planilha1!$B87,Sheet1!O:O)</f>
        <v>7.5768638402223587</v>
      </c>
      <c r="G87" s="3">
        <f>E87/F87</f>
        <v>1.3198072726230394</v>
      </c>
      <c r="H87" s="4">
        <f>E87/D87</f>
        <v>10</v>
      </c>
    </row>
    <row r="88" spans="2:8" x14ac:dyDescent="0.25">
      <c r="B88" t="str">
        <v>Charlie Austin</v>
      </c>
      <c r="C88" s="3">
        <f>AVERAGEIF(Sheet1!$H:$H,Planilha1!B88,Sheet1!X:X)</f>
        <v>1.006606844529113</v>
      </c>
      <c r="D88">
        <f>COUNTIF(Sheet1!H:H,Planilha1!B88)</f>
        <v>1</v>
      </c>
      <c r="E88" s="3">
        <f>SUMIF(Sheet1!$H:$H,Planilha1!$B88,Sheet1!C:C)</f>
        <v>18</v>
      </c>
      <c r="F88" s="3">
        <f>SUMIF(Sheet1!$H:$H,Planilha1!$B88,Sheet1!O:O)</f>
        <v>17.88185734860599</v>
      </c>
      <c r="G88" s="3">
        <f>E88/F88</f>
        <v>1.0066068445291125</v>
      </c>
      <c r="H88" s="4">
        <f>E88/D88</f>
        <v>18</v>
      </c>
    </row>
    <row r="89" spans="2:8" x14ac:dyDescent="0.25">
      <c r="B89" t="str">
        <v>Cheick Diabaté</v>
      </c>
      <c r="C89" s="3">
        <f>AVERAGEIF(Sheet1!$H:$H,Planilha1!B89,Sheet1!X:X)</f>
        <v>1.4351089604874561</v>
      </c>
      <c r="D89">
        <f>COUNTIF(Sheet1!H:H,Planilha1!B89)</f>
        <v>1</v>
      </c>
      <c r="E89" s="3">
        <f>SUMIF(Sheet1!$H:$H,Planilha1!$B89,Sheet1!C:C)</f>
        <v>10</v>
      </c>
      <c r="F89" s="3">
        <f>SUMIF(Sheet1!$H:$H,Planilha1!$B89,Sheet1!O:O)</f>
        <v>6.9681120216846466</v>
      </c>
      <c r="G89" s="3">
        <f>E89/F89</f>
        <v>1.4351089604874563</v>
      </c>
      <c r="H89" s="4">
        <f>E89/D89</f>
        <v>10</v>
      </c>
    </row>
    <row r="90" spans="2:8" x14ac:dyDescent="0.25">
      <c r="B90" t="str">
        <v>Chicharito</v>
      </c>
      <c r="C90" s="3">
        <f>AVERAGEIF(Sheet1!$H:$H,Planilha1!B90,Sheet1!X:X)</f>
        <v>1.1530974939199632</v>
      </c>
      <c r="D90">
        <f>COUNTIF(Sheet1!H:H,Planilha1!B90)</f>
        <v>2</v>
      </c>
      <c r="E90" s="3">
        <f>SUMIF(Sheet1!$H:$H,Planilha1!$B90,Sheet1!C:C)</f>
        <v>28</v>
      </c>
      <c r="F90" s="3">
        <f>SUMIF(Sheet1!$H:$H,Planilha1!$B90,Sheet1!O:O)</f>
        <v>24.16484781447798</v>
      </c>
      <c r="G90" s="3">
        <f>E90/F90</f>
        <v>1.1587078973128997</v>
      </c>
      <c r="H90" s="4">
        <f>E90/D90</f>
        <v>14</v>
      </c>
    </row>
    <row r="91" spans="2:8" x14ac:dyDescent="0.25">
      <c r="B91" t="str">
        <v>Chris Wood</v>
      </c>
      <c r="C91" s="3">
        <f>AVERAGEIF(Sheet1!$H:$H,Planilha1!B91,Sheet1!X:X)</f>
        <v>1.0782331955078777</v>
      </c>
      <c r="D91">
        <f>COUNTIF(Sheet1!H:H,Planilha1!B91)</f>
        <v>6</v>
      </c>
      <c r="E91" s="3">
        <f>SUMIF(Sheet1!$H:$H,Planilha1!$B91,Sheet1!C:C)</f>
        <v>80</v>
      </c>
      <c r="F91" s="3">
        <f>SUMIF(Sheet1!$H:$H,Planilha1!$B91,Sheet1!O:O)</f>
        <v>75.956001106649637</v>
      </c>
      <c r="G91" s="3">
        <f>E91/F91</f>
        <v>1.0532413349100909</v>
      </c>
      <c r="H91" s="4">
        <f>E91/D91</f>
        <v>13.333333333333334</v>
      </c>
    </row>
    <row r="92" spans="2:8" x14ac:dyDescent="0.25">
      <c r="B92" t="str">
        <v>Christian Benteke</v>
      </c>
      <c r="C92" s="3">
        <f>AVERAGEIF(Sheet1!$H:$H,Planilha1!B92,Sheet1!X:X)</f>
        <v>1.2475829262585405</v>
      </c>
      <c r="D92">
        <f>COUNTIF(Sheet1!H:H,Planilha1!B92)</f>
        <v>3</v>
      </c>
      <c r="E92" s="3">
        <f>SUMIF(Sheet1!$H:$H,Planilha1!$B92,Sheet1!C:C)</f>
        <v>38</v>
      </c>
      <c r="F92" s="3">
        <f>SUMIF(Sheet1!$H:$H,Planilha1!$B92,Sheet1!O:O)</f>
        <v>33.268344808369875</v>
      </c>
      <c r="G92" s="3">
        <f>E92/F92</f>
        <v>1.1422269493383304</v>
      </c>
      <c r="H92" s="4">
        <f>E92/D92</f>
        <v>12.666666666666666</v>
      </c>
    </row>
    <row r="93" spans="2:8" x14ac:dyDescent="0.25">
      <c r="B93" t="str">
        <v>Christian Pulisic</v>
      </c>
      <c r="C93" s="3">
        <f>AVERAGEIF(Sheet1!$H:$H,Planilha1!B93,Sheet1!X:X)</f>
        <v>1.2106210783096945</v>
      </c>
      <c r="D93">
        <f>COUNTIF(Sheet1!H:H,Planilha1!B93)</f>
        <v>2</v>
      </c>
      <c r="E93" s="3">
        <f>SUMIF(Sheet1!$H:$H,Planilha1!$B93,Sheet1!C:C)</f>
        <v>23</v>
      </c>
      <c r="F93" s="3">
        <f>SUMIF(Sheet1!$H:$H,Planilha1!$B93,Sheet1!O:O)</f>
        <v>19.788897428661585</v>
      </c>
      <c r="G93" s="3">
        <f>E93/F93</f>
        <v>1.1622678869762375</v>
      </c>
      <c r="H93" s="4">
        <f>E93/D93</f>
        <v>11.5</v>
      </c>
    </row>
    <row r="94" spans="2:8" x14ac:dyDescent="0.25">
      <c r="B94" t="str">
        <v>Christophe Mandanne</v>
      </c>
      <c r="C94" s="3">
        <f>AVERAGEIF(Sheet1!$H:$H,Planilha1!B94,Sheet1!X:X)</f>
        <v>1.212776705096859</v>
      </c>
      <c r="D94">
        <f>COUNTIF(Sheet1!H:H,Planilha1!B94)</f>
        <v>1</v>
      </c>
      <c r="E94" s="3">
        <f>SUMIF(Sheet1!$H:$H,Planilha1!$B94,Sheet1!C:C)</f>
        <v>11</v>
      </c>
      <c r="F94" s="3">
        <f>SUMIF(Sheet1!$H:$H,Planilha1!$B94,Sheet1!O:O)</f>
        <v>9.0700950585305673</v>
      </c>
      <c r="G94" s="3">
        <f>E94/F94</f>
        <v>1.2127767050968585</v>
      </c>
      <c r="H94" s="4">
        <f>E94/D94</f>
        <v>11</v>
      </c>
    </row>
    <row r="95" spans="2:8" x14ac:dyDescent="0.25">
      <c r="B95" t="str">
        <v>Christopher Nkunku</v>
      </c>
      <c r="C95" s="3">
        <f>AVERAGEIF(Sheet1!$H:$H,Planilha1!B95,Sheet1!X:X)</f>
        <v>1.1325263305556792</v>
      </c>
      <c r="D95">
        <f>COUNTIF(Sheet1!H:H,Planilha1!B95)</f>
        <v>2</v>
      </c>
      <c r="E95" s="3">
        <f>SUMIF(Sheet1!$H:$H,Planilha1!$B95,Sheet1!C:C)</f>
        <v>36</v>
      </c>
      <c r="F95" s="3">
        <f>SUMIF(Sheet1!$H:$H,Planilha1!$B95,Sheet1!O:O)</f>
        <v>31.880466926842931</v>
      </c>
      <c r="G95" s="3">
        <f>E95/F95</f>
        <v>1.1292180908959171</v>
      </c>
      <c r="H95" s="4">
        <f>E95/D95</f>
        <v>18</v>
      </c>
    </row>
    <row r="96" spans="2:8" x14ac:dyDescent="0.25">
      <c r="B96" t="str">
        <v>Ciro Immobile</v>
      </c>
      <c r="C96" s="3">
        <f>AVERAGEIF(Sheet1!$H:$H,Planilha1!B96,Sheet1!X:X)</f>
        <v>1.0974630977458573</v>
      </c>
      <c r="D96">
        <f>COUNTIF(Sheet1!H:H,Planilha1!B96)</f>
        <v>7</v>
      </c>
      <c r="E96" s="3">
        <f>SUMIF(Sheet1!$H:$H,Planilha1!$B96,Sheet1!C:C)</f>
        <v>162</v>
      </c>
      <c r="F96" s="3">
        <f>SUMIF(Sheet1!$H:$H,Planilha1!$B96,Sheet1!O:O)</f>
        <v>143.75642455555499</v>
      </c>
      <c r="G96" s="3">
        <f>E96/F96</f>
        <v>1.1269061574176447</v>
      </c>
      <c r="H96" s="4">
        <f>E96/D96</f>
        <v>23.142857142857142</v>
      </c>
    </row>
    <row r="97" spans="2:8" x14ac:dyDescent="0.25">
      <c r="B97" t="str">
        <v>Claudio Beauvue</v>
      </c>
      <c r="C97" s="3">
        <f>AVERAGEIF(Sheet1!$H:$H,Planilha1!B97,Sheet1!X:X)</f>
        <v>1.3965689397207519</v>
      </c>
      <c r="D97">
        <f>COUNTIF(Sheet1!H:H,Planilha1!B97)</f>
        <v>1</v>
      </c>
      <c r="E97" s="3">
        <f>SUMIF(Sheet1!$H:$H,Planilha1!$B97,Sheet1!C:C)</f>
        <v>17</v>
      </c>
      <c r="F97" s="3">
        <f>SUMIF(Sheet1!$H:$H,Planilha1!$B97,Sheet1!O:O)</f>
        <v>12.172689450904731</v>
      </c>
      <c r="G97" s="3">
        <f>E97/F97</f>
        <v>1.3965689397207519</v>
      </c>
      <c r="H97" s="4">
        <f>E97/D97</f>
        <v>17</v>
      </c>
    </row>
    <row r="98" spans="2:8" x14ac:dyDescent="0.25">
      <c r="B98" t="str">
        <v>Claudio Pizarro</v>
      </c>
      <c r="C98" s="3">
        <f>AVERAGEIF(Sheet1!$H:$H,Planilha1!B98,Sheet1!X:X)</f>
        <v>1.2353135245423861</v>
      </c>
      <c r="D98">
        <f>COUNTIF(Sheet1!H:H,Planilha1!B98)</f>
        <v>1</v>
      </c>
      <c r="E98" s="3">
        <f>SUMIF(Sheet1!$H:$H,Planilha1!$B98,Sheet1!C:C)</f>
        <v>14</v>
      </c>
      <c r="F98" s="3">
        <f>SUMIF(Sheet1!$H:$H,Planilha1!$B98,Sheet1!O:O)</f>
        <v>11.33315528556704</v>
      </c>
      <c r="G98" s="3">
        <f>E98/F98</f>
        <v>1.2353135245423867</v>
      </c>
      <c r="H98" s="4">
        <f>E98/D98</f>
        <v>14</v>
      </c>
    </row>
    <row r="99" spans="2:8" x14ac:dyDescent="0.25">
      <c r="B99" t="str">
        <v>Cody Gakpo</v>
      </c>
      <c r="C99" s="3">
        <f>AVERAGEIF(Sheet1!$H:$H,Planilha1!B99,Sheet1!X:X)</f>
        <v>1.1626195721160939</v>
      </c>
      <c r="D99">
        <f>COUNTIF(Sheet1!H:H,Planilha1!B99)</f>
        <v>1</v>
      </c>
      <c r="E99" s="3">
        <f>SUMIF(Sheet1!$H:$H,Planilha1!$B99,Sheet1!C:C)</f>
        <v>10</v>
      </c>
      <c r="F99" s="3">
        <f>SUMIF(Sheet1!$H:$H,Planilha1!$B99,Sheet1!O:O)</f>
        <v>8.6012658309191465</v>
      </c>
      <c r="G99" s="3">
        <f>E99/F99</f>
        <v>1.1626195721160943</v>
      </c>
      <c r="H99" s="4">
        <f>E99/D99</f>
        <v>10</v>
      </c>
    </row>
    <row r="100" spans="2:8" x14ac:dyDescent="0.25">
      <c r="B100" t="str">
        <v>Cole Palmer</v>
      </c>
      <c r="C100" s="3">
        <f>AVERAGEIF(Sheet1!$H:$H,Planilha1!B100,Sheet1!X:X)</f>
        <v>1.233720150450822</v>
      </c>
      <c r="D100">
        <f>COUNTIF(Sheet1!H:H,Planilha1!B100)</f>
        <v>1</v>
      </c>
      <c r="E100" s="3">
        <f>SUMIF(Sheet1!$H:$H,Planilha1!$B100,Sheet1!C:C)</f>
        <v>22</v>
      </c>
      <c r="F100" s="3">
        <f>SUMIF(Sheet1!$H:$H,Planilha1!$B100,Sheet1!O:O)</f>
        <v>17.832245012745261</v>
      </c>
      <c r="G100" s="3">
        <f>E100/F100</f>
        <v>1.2337201504508217</v>
      </c>
      <c r="H100" s="4">
        <f>E100/D100</f>
        <v>22</v>
      </c>
    </row>
    <row r="101" spans="2:8" x14ac:dyDescent="0.25">
      <c r="B101" t="str">
        <v>Cristhian Stuani</v>
      </c>
      <c r="C101" s="3">
        <f>AVERAGEIF(Sheet1!$H:$H,Planilha1!B101,Sheet1!X:X)</f>
        <v>1.2246087857877226</v>
      </c>
      <c r="D101">
        <f>COUNTIF(Sheet1!H:H,Planilha1!B101)</f>
        <v>4</v>
      </c>
      <c r="E101" s="3">
        <f>SUMIF(Sheet1!$H:$H,Planilha1!$B101,Sheet1!C:C)</f>
        <v>63</v>
      </c>
      <c r="F101" s="3">
        <f>SUMIF(Sheet1!$H:$H,Planilha1!$B101,Sheet1!O:O)</f>
        <v>51.910530438646674</v>
      </c>
      <c r="G101" s="3">
        <f>E101/F101</f>
        <v>1.2136265892035147</v>
      </c>
      <c r="H101" s="4">
        <f>E101/D101</f>
        <v>15.75</v>
      </c>
    </row>
    <row r="102" spans="2:8" x14ac:dyDescent="0.25">
      <c r="B102" t="str">
        <v>Cristiano Ronaldo</v>
      </c>
      <c r="C102" s="3">
        <f>AVERAGEIF(Sheet1!$H:$H,Planilha1!B102,Sheet1!X:X)</f>
        <v>1.0153185720031173</v>
      </c>
      <c r="D102">
        <f>COUNTIF(Sheet1!H:H,Planilha1!B102)</f>
        <v>8</v>
      </c>
      <c r="E102" s="3">
        <f>SUMIF(Sheet1!$H:$H,Planilha1!$B102,Sheet1!C:C)</f>
        <v>233</v>
      </c>
      <c r="F102" s="3">
        <f>SUMIF(Sheet1!$H:$H,Planilha1!$B102,Sheet1!O:O)</f>
        <v>227.11743599455804</v>
      </c>
      <c r="G102" s="3">
        <f>E102/F102</f>
        <v>1.0259009792871336</v>
      </c>
      <c r="H102" s="4">
        <f>E102/D102</f>
        <v>29.125</v>
      </c>
    </row>
    <row r="103" spans="2:8" x14ac:dyDescent="0.25">
      <c r="B103" t="str">
        <v>Cyril Théréau</v>
      </c>
      <c r="C103" s="3">
        <f>AVERAGEIF(Sheet1!$H:$H,Planilha1!B103,Sheet1!X:X)</f>
        <v>1.1864175143856561</v>
      </c>
      <c r="D103">
        <f>COUNTIF(Sheet1!H:H,Planilha1!B103)</f>
        <v>3</v>
      </c>
      <c r="E103" s="3">
        <f>SUMIF(Sheet1!$H:$H,Planilha1!$B103,Sheet1!C:C)</f>
        <v>33</v>
      </c>
      <c r="F103" s="3">
        <f>SUMIF(Sheet1!$H:$H,Planilha1!$B103,Sheet1!O:O)</f>
        <v>29.077574531547722</v>
      </c>
      <c r="G103" s="3">
        <f>E103/F103</f>
        <v>1.1348952081335615</v>
      </c>
      <c r="H103" s="4">
        <f>E103/D103</f>
        <v>11</v>
      </c>
    </row>
    <row r="104" spans="2:8" x14ac:dyDescent="0.25">
      <c r="B104" t="str">
        <v>Daniel Didavi</v>
      </c>
      <c r="C104" s="3">
        <f>AVERAGEIF(Sheet1!$H:$H,Planilha1!B104,Sheet1!X:X)</f>
        <v>1.167402622621083</v>
      </c>
      <c r="D104">
        <f>COUNTIF(Sheet1!H:H,Planilha1!B104)</f>
        <v>1</v>
      </c>
      <c r="E104" s="3">
        <f>SUMIF(Sheet1!$H:$H,Planilha1!$B104,Sheet1!C:C)</f>
        <v>13</v>
      </c>
      <c r="F104" s="3">
        <f>SUMIF(Sheet1!$H:$H,Planilha1!$B104,Sheet1!O:O)</f>
        <v>11.135832443833349</v>
      </c>
      <c r="G104" s="3">
        <f>E104/F104</f>
        <v>1.1674026226210834</v>
      </c>
      <c r="H104" s="4">
        <f>E104/D104</f>
        <v>13</v>
      </c>
    </row>
    <row r="105" spans="2:8" x14ac:dyDescent="0.25">
      <c r="B105" t="str">
        <v>Danny Ings</v>
      </c>
      <c r="C105" s="3">
        <f>AVERAGEIF(Sheet1!$H:$H,Planilha1!B105,Sheet1!X:X)</f>
        <v>1.2499419641253762</v>
      </c>
      <c r="D105">
        <f>COUNTIF(Sheet1!H:H,Planilha1!B105)</f>
        <v>3</v>
      </c>
      <c r="E105" s="3">
        <f>SUMIF(Sheet1!$H:$H,Planilha1!$B105,Sheet1!C:C)</f>
        <v>45</v>
      </c>
      <c r="F105" s="3">
        <f>SUMIF(Sheet1!$H:$H,Planilha1!$B105,Sheet1!O:O)</f>
        <v>36.225802972912788</v>
      </c>
      <c r="G105" s="3">
        <f>E105/F105</f>
        <v>1.2422084897234151</v>
      </c>
      <c r="H105" s="4">
        <f>E105/D105</f>
        <v>15</v>
      </c>
    </row>
    <row r="106" spans="2:8" x14ac:dyDescent="0.25">
      <c r="B106" t="str">
        <v>Danny Welbeck</v>
      </c>
      <c r="C106" s="3">
        <f>AVERAGEIF(Sheet1!$H:$H,Planilha1!B106,Sheet1!X:X)</f>
        <v>0.95638601615063101</v>
      </c>
      <c r="D106">
        <f>COUNTIF(Sheet1!H:H,Planilha1!B106)</f>
        <v>1</v>
      </c>
      <c r="E106" s="3">
        <f>SUMIF(Sheet1!$H:$H,Planilha1!$B106,Sheet1!C:C)</f>
        <v>10</v>
      </c>
      <c r="F106" s="3">
        <f>SUMIF(Sheet1!$H:$H,Planilha1!$B106,Sheet1!O:O)</f>
        <v>10.45602908357978</v>
      </c>
      <c r="G106" s="3">
        <f>E106/F106</f>
        <v>0.95638601615063101</v>
      </c>
      <c r="H106" s="4">
        <f>E106/D106</f>
        <v>10</v>
      </c>
    </row>
    <row r="107" spans="2:8" x14ac:dyDescent="0.25">
      <c r="B107" t="str">
        <v>Darío Benedetto</v>
      </c>
      <c r="C107" s="3">
        <f>AVERAGEIF(Sheet1!$H:$H,Planilha1!B107,Sheet1!X:X)</f>
        <v>1.124280158019352</v>
      </c>
      <c r="D107">
        <f>COUNTIF(Sheet1!H:H,Planilha1!B107)</f>
        <v>1</v>
      </c>
      <c r="E107" s="3">
        <f>SUMIF(Sheet1!$H:$H,Planilha1!$B107,Sheet1!C:C)</f>
        <v>11</v>
      </c>
      <c r="F107" s="3">
        <f>SUMIF(Sheet1!$H:$H,Planilha1!$B107,Sheet1!O:O)</f>
        <v>9.7840381879359484</v>
      </c>
      <c r="G107" s="3">
        <f>E107/F107</f>
        <v>1.1242801580193518</v>
      </c>
      <c r="H107" s="4">
        <f>E107/D107</f>
        <v>11</v>
      </c>
    </row>
    <row r="108" spans="2:8" x14ac:dyDescent="0.25">
      <c r="B108" t="str">
        <v>Darwin Núñez</v>
      </c>
      <c r="C108" s="3">
        <f>AVERAGEIF(Sheet1!$H:$H,Planilha1!B108,Sheet1!X:X)</f>
        <v>0.57327941425280671</v>
      </c>
      <c r="D108">
        <f>COUNTIF(Sheet1!H:H,Planilha1!B108)</f>
        <v>1</v>
      </c>
      <c r="E108" s="3">
        <f>SUMIF(Sheet1!$H:$H,Planilha1!$B108,Sheet1!C:C)</f>
        <v>11</v>
      </c>
      <c r="F108" s="3">
        <f>SUMIF(Sheet1!$H:$H,Planilha1!$B108,Sheet1!O:O)</f>
        <v>19.18785103131086</v>
      </c>
      <c r="G108" s="3">
        <f>E108/F108</f>
        <v>0.5732794142528066</v>
      </c>
      <c r="H108" s="4">
        <f>E108/D108</f>
        <v>11</v>
      </c>
    </row>
    <row r="109" spans="2:8" x14ac:dyDescent="0.25">
      <c r="B109" t="str">
        <v>David Barral</v>
      </c>
      <c r="C109" s="3">
        <f>AVERAGEIF(Sheet1!$H:$H,Planilha1!B109,Sheet1!X:X)</f>
        <v>1.082805138271357</v>
      </c>
      <c r="D109">
        <f>COUNTIF(Sheet1!H:H,Planilha1!B109)</f>
        <v>1</v>
      </c>
      <c r="E109" s="3">
        <f>SUMIF(Sheet1!$H:$H,Planilha1!$B109,Sheet1!C:C)</f>
        <v>11</v>
      </c>
      <c r="F109" s="3">
        <f>SUMIF(Sheet1!$H:$H,Planilha1!$B109,Sheet1!O:O)</f>
        <v>10.15879922546446</v>
      </c>
      <c r="G109" s="3">
        <f>E109/F109</f>
        <v>1.082805138271357</v>
      </c>
      <c r="H109" s="4">
        <f>E109/D109</f>
        <v>11</v>
      </c>
    </row>
    <row r="110" spans="2:8" x14ac:dyDescent="0.25">
      <c r="B110" t="str">
        <v>Davie Selke</v>
      </c>
      <c r="C110" s="3">
        <f>AVERAGEIF(Sheet1!$H:$H,Planilha1!B110,Sheet1!X:X)</f>
        <v>1.34950459315445</v>
      </c>
      <c r="D110">
        <f>COUNTIF(Sheet1!H:H,Planilha1!B110)</f>
        <v>1</v>
      </c>
      <c r="E110" s="3">
        <f>SUMIF(Sheet1!$H:$H,Planilha1!$B110,Sheet1!C:C)</f>
        <v>10</v>
      </c>
      <c r="F110" s="3">
        <f>SUMIF(Sheet1!$H:$H,Planilha1!$B110,Sheet1!O:O)</f>
        <v>7.410126687027514</v>
      </c>
      <c r="G110" s="3">
        <f>E110/F110</f>
        <v>1.3495045931544503</v>
      </c>
      <c r="H110" s="4">
        <f>E110/D110</f>
        <v>10</v>
      </c>
    </row>
    <row r="111" spans="2:8" x14ac:dyDescent="0.25">
      <c r="B111" t="str">
        <v>Dejan Kulusevski</v>
      </c>
      <c r="C111" s="3">
        <f>AVERAGEIF(Sheet1!$H:$H,Planilha1!B111,Sheet1!X:X)</f>
        <v>1.3760664913378899</v>
      </c>
      <c r="D111">
        <f>COUNTIF(Sheet1!H:H,Planilha1!B111)</f>
        <v>1</v>
      </c>
      <c r="E111" s="3">
        <f>SUMIF(Sheet1!$H:$H,Planilha1!$B111,Sheet1!C:C)</f>
        <v>10</v>
      </c>
      <c r="F111" s="3">
        <f>SUMIF(Sheet1!$H:$H,Planilha1!$B111,Sheet1!O:O)</f>
        <v>7.2670906987041226</v>
      </c>
      <c r="G111" s="3">
        <f>E111/F111</f>
        <v>1.3760664913378904</v>
      </c>
      <c r="H111" s="4">
        <f>E111/D111</f>
        <v>10</v>
      </c>
    </row>
    <row r="112" spans="2:8" x14ac:dyDescent="0.25">
      <c r="B112" t="str">
        <v>Dele Alli</v>
      </c>
      <c r="C112" s="3">
        <f>AVERAGEIF(Sheet1!$H:$H,Planilha1!B112,Sheet1!X:X)</f>
        <v>1.2237759891556319</v>
      </c>
      <c r="D112">
        <f>COUNTIF(Sheet1!H:H,Planilha1!B112)</f>
        <v>1</v>
      </c>
      <c r="E112" s="3">
        <f>SUMIF(Sheet1!$H:$H,Planilha1!$B112,Sheet1!C:C)</f>
        <v>18</v>
      </c>
      <c r="F112" s="3">
        <f>SUMIF(Sheet1!$H:$H,Planilha1!$B112,Sheet1!O:O)</f>
        <v>14.70857424847782</v>
      </c>
      <c r="G112" s="3">
        <f>E112/F112</f>
        <v>1.2237759891556319</v>
      </c>
      <c r="H112" s="4">
        <f>E112/D112</f>
        <v>18</v>
      </c>
    </row>
    <row r="113" spans="2:8" x14ac:dyDescent="0.25">
      <c r="B113" t="str">
        <v>Deniz Undav</v>
      </c>
      <c r="C113" s="3">
        <f>AVERAGEIF(Sheet1!$H:$H,Planilha1!B113,Sheet1!X:X)</f>
        <v>1.0530448069098071</v>
      </c>
      <c r="D113">
        <f>COUNTIF(Sheet1!H:H,Planilha1!B113)</f>
        <v>1</v>
      </c>
      <c r="E113" s="3">
        <f>SUMIF(Sheet1!$H:$H,Planilha1!$B113,Sheet1!C:C)</f>
        <v>18</v>
      </c>
      <c r="F113" s="3">
        <f>SUMIF(Sheet1!$H:$H,Planilha1!$B113,Sheet1!O:O)</f>
        <v>17.09328974597156</v>
      </c>
      <c r="G113" s="3">
        <f>E113/F113</f>
        <v>1.0530448069098066</v>
      </c>
      <c r="H113" s="4">
        <f>E113/D113</f>
        <v>18</v>
      </c>
    </row>
    <row r="114" spans="2:8" x14ac:dyDescent="0.25">
      <c r="B114" t="str">
        <v>Diafra Sakho</v>
      </c>
      <c r="C114" s="3">
        <f>AVERAGEIF(Sheet1!$H:$H,Planilha1!B114,Sheet1!X:X)</f>
        <v>1.10248966753165</v>
      </c>
      <c r="D114">
        <f>COUNTIF(Sheet1!H:H,Planilha1!B114)</f>
        <v>1</v>
      </c>
      <c r="E114" s="3">
        <f>SUMIF(Sheet1!$H:$H,Planilha1!$B114,Sheet1!C:C)</f>
        <v>10</v>
      </c>
      <c r="F114" s="3">
        <f>SUMIF(Sheet1!$H:$H,Planilha1!$B114,Sheet1!O:O)</f>
        <v>9.0703797908499837</v>
      </c>
      <c r="G114" s="3">
        <f>E114/F114</f>
        <v>1.1024896675316505</v>
      </c>
      <c r="H114" s="4">
        <f>E114/D114</f>
        <v>10</v>
      </c>
    </row>
    <row r="115" spans="2:8" x14ac:dyDescent="0.25">
      <c r="B115" t="str">
        <v>Diego Costa</v>
      </c>
      <c r="C115" s="3">
        <f>AVERAGEIF(Sheet1!$H:$H,Planilha1!B115,Sheet1!X:X)</f>
        <v>1.2011645671963893</v>
      </c>
      <c r="D115">
        <f>COUNTIF(Sheet1!H:H,Planilha1!B115)</f>
        <v>3</v>
      </c>
      <c r="E115" s="3">
        <f>SUMIF(Sheet1!$H:$H,Planilha1!$B115,Sheet1!C:C)</f>
        <v>52</v>
      </c>
      <c r="F115" s="3">
        <f>SUMIF(Sheet1!$H:$H,Planilha1!$B115,Sheet1!O:O)</f>
        <v>42.731471326202147</v>
      </c>
      <c r="G115" s="3">
        <f>E115/F115</f>
        <v>1.2169016976514582</v>
      </c>
      <c r="H115" s="4">
        <f>E115/D115</f>
        <v>17.333333333333332</v>
      </c>
    </row>
    <row r="116" spans="2:8" x14ac:dyDescent="0.25">
      <c r="B116" t="str">
        <v>Diego Falcinelli</v>
      </c>
      <c r="C116" s="3">
        <f>AVERAGEIF(Sheet1!$H:$H,Planilha1!B116,Sheet1!X:X)</f>
        <v>1.136167079688118</v>
      </c>
      <c r="D116">
        <f>COUNTIF(Sheet1!H:H,Planilha1!B116)</f>
        <v>1</v>
      </c>
      <c r="E116" s="3">
        <f>SUMIF(Sheet1!$H:$H,Planilha1!$B116,Sheet1!C:C)</f>
        <v>13</v>
      </c>
      <c r="F116" s="3">
        <f>SUMIF(Sheet1!$H:$H,Planilha1!$B116,Sheet1!O:O)</f>
        <v>11.44197911769152</v>
      </c>
      <c r="G116" s="3">
        <f>E116/F116</f>
        <v>1.1361670796881176</v>
      </c>
      <c r="H116" s="4">
        <f>E116/D116</f>
        <v>13</v>
      </c>
    </row>
    <row r="117" spans="2:8" x14ac:dyDescent="0.25">
      <c r="B117" t="str">
        <v>Diego Rolan</v>
      </c>
      <c r="C117" s="3">
        <f>AVERAGEIF(Sheet1!$H:$H,Planilha1!B117,Sheet1!X:X)</f>
        <v>1.1945489092501891</v>
      </c>
      <c r="D117">
        <f>COUNTIF(Sheet1!H:H,Planilha1!B117)</f>
        <v>1</v>
      </c>
      <c r="E117" s="3">
        <f>SUMIF(Sheet1!$H:$H,Planilha1!$B117,Sheet1!C:C)</f>
        <v>15</v>
      </c>
      <c r="F117" s="3">
        <f>SUMIF(Sheet1!$H:$H,Planilha1!$B117,Sheet1!O:O)</f>
        <v>12.55704130977392</v>
      </c>
      <c r="G117" s="3">
        <f>E117/F117</f>
        <v>1.1945489092501889</v>
      </c>
      <c r="H117" s="4">
        <f>E117/D117</f>
        <v>15</v>
      </c>
    </row>
    <row r="118" spans="2:8" x14ac:dyDescent="0.25">
      <c r="B118" t="str">
        <v>Dimitri Payet</v>
      </c>
      <c r="C118" s="3">
        <f>AVERAGEIF(Sheet1!$H:$H,Planilha1!B118,Sheet1!X:X)</f>
        <v>1.17365774016853</v>
      </c>
      <c r="D118">
        <f>COUNTIF(Sheet1!H:H,Planilha1!B118)</f>
        <v>1</v>
      </c>
      <c r="E118" s="3">
        <f>SUMIF(Sheet1!$H:$H,Planilha1!$B118,Sheet1!C:C)</f>
        <v>12</v>
      </c>
      <c r="F118" s="3">
        <f>SUMIF(Sheet1!$H:$H,Planilha1!$B118,Sheet1!O:O)</f>
        <v>10.224445840809491</v>
      </c>
      <c r="G118" s="3">
        <f>E118/F118</f>
        <v>1.1736577401685306</v>
      </c>
      <c r="H118" s="4">
        <f>E118/D118</f>
        <v>12</v>
      </c>
    </row>
    <row r="119" spans="2:8" x14ac:dyDescent="0.25">
      <c r="B119" t="str">
        <v>Diogo Jota</v>
      </c>
      <c r="C119" s="3">
        <f>AVERAGEIF(Sheet1!$H:$H,Planilha1!B119,Sheet1!X:X)</f>
        <v>1.1758563675682272</v>
      </c>
      <c r="D119">
        <f>COUNTIF(Sheet1!H:H,Planilha1!B119)</f>
        <v>2</v>
      </c>
      <c r="E119" s="3">
        <f>SUMIF(Sheet1!$H:$H,Planilha1!$B119,Sheet1!C:C)</f>
        <v>25</v>
      </c>
      <c r="F119" s="3">
        <f>SUMIF(Sheet1!$H:$H,Planilha1!$B119,Sheet1!O:O)</f>
        <v>24.072667554020882</v>
      </c>
      <c r="G119" s="3">
        <f>E119/F119</f>
        <v>1.0385222137886512</v>
      </c>
      <c r="H119" s="4">
        <f>E119/D119</f>
        <v>12.5</v>
      </c>
    </row>
    <row r="120" spans="2:8" x14ac:dyDescent="0.25">
      <c r="B120" t="str">
        <v>Djorde Despotovic</v>
      </c>
      <c r="C120" s="3">
        <f>AVERAGEIF(Sheet1!$H:$H,Planilha1!B120,Sheet1!X:X)</f>
        <v>1.191687209224839</v>
      </c>
      <c r="D120">
        <f>COUNTIF(Sheet1!H:H,Planilha1!B120)</f>
        <v>1</v>
      </c>
      <c r="E120" s="3">
        <f>SUMIF(Sheet1!$H:$H,Planilha1!$B120,Sheet1!C:C)</f>
        <v>14</v>
      </c>
      <c r="F120" s="3">
        <f>SUMIF(Sheet1!$H:$H,Planilha1!$B120,Sheet1!O:O)</f>
        <v>11.74804922938347</v>
      </c>
      <c r="G120" s="3">
        <f>E120/F120</f>
        <v>1.1916872092248383</v>
      </c>
      <c r="H120" s="4">
        <f>E120/D120</f>
        <v>14</v>
      </c>
    </row>
    <row r="121" spans="2:8" x14ac:dyDescent="0.25">
      <c r="B121" t="str">
        <v>Dmitriy Poloz</v>
      </c>
      <c r="C121" s="3">
        <f>AVERAGEIF(Sheet1!$H:$H,Planilha1!B121,Sheet1!X:X)</f>
        <v>1.2615608187128791</v>
      </c>
      <c r="D121">
        <f>COUNTIF(Sheet1!H:H,Planilha1!B121)</f>
        <v>1</v>
      </c>
      <c r="E121" s="3">
        <f>SUMIF(Sheet1!$H:$H,Planilha1!$B121,Sheet1!C:C)</f>
        <v>14</v>
      </c>
      <c r="F121" s="3">
        <f>SUMIF(Sheet1!$H:$H,Planilha1!$B121,Sheet1!O:O)</f>
        <v>11.09736430644989</v>
      </c>
      <c r="G121" s="3">
        <f>E121/F121</f>
        <v>1.2615608187128786</v>
      </c>
      <c r="H121" s="4">
        <f>E121/D121</f>
        <v>14</v>
      </c>
    </row>
    <row r="122" spans="2:8" x14ac:dyDescent="0.25">
      <c r="B122" t="str">
        <v>Dmitry Vorobyev</v>
      </c>
      <c r="C122" s="3">
        <f>AVERAGEIF(Sheet1!$H:$H,Planilha1!B122,Sheet1!X:X)</f>
        <v>1.2423597492841889</v>
      </c>
      <c r="D122">
        <f>COUNTIF(Sheet1!H:H,Planilha1!B122)</f>
        <v>1</v>
      </c>
      <c r="E122" s="3">
        <f>SUMIF(Sheet1!$H:$H,Planilha1!$B122,Sheet1!C:C)</f>
        <v>12</v>
      </c>
      <c r="F122" s="3">
        <f>SUMIF(Sheet1!$H:$H,Planilha1!$B122,Sheet1!O:O)</f>
        <v>9.6590379774570483</v>
      </c>
      <c r="G122" s="3">
        <f>E122/F122</f>
        <v>1.2423597492841891</v>
      </c>
      <c r="H122" s="4">
        <f>E122/D122</f>
        <v>12</v>
      </c>
    </row>
    <row r="123" spans="2:8" x14ac:dyDescent="0.25">
      <c r="B123" t="str">
        <v>Dodi Lukebakio</v>
      </c>
      <c r="C123" s="3">
        <f>AVERAGEIF(Sheet1!$H:$H,Planilha1!B123,Sheet1!X:X)</f>
        <v>1.0872809147295908</v>
      </c>
      <c r="D123">
        <f>COUNTIF(Sheet1!H:H,Planilha1!B123)</f>
        <v>3</v>
      </c>
      <c r="E123" s="3">
        <f>SUMIF(Sheet1!$H:$H,Planilha1!$B123,Sheet1!C:C)</f>
        <v>32</v>
      </c>
      <c r="F123" s="3">
        <f>SUMIF(Sheet1!$H:$H,Planilha1!$B123,Sheet1!O:O)</f>
        <v>30.049320328980684</v>
      </c>
      <c r="G123" s="3">
        <f>E123/F123</f>
        <v>1.0649159331946023</v>
      </c>
      <c r="H123" s="4">
        <f>E123/D123</f>
        <v>10.666666666666666</v>
      </c>
    </row>
    <row r="124" spans="2:8" x14ac:dyDescent="0.25">
      <c r="B124" t="str">
        <v>Domenico Berardi</v>
      </c>
      <c r="C124" s="3">
        <f>AVERAGEIF(Sheet1!$H:$H,Planilha1!B124,Sheet1!X:X)</f>
        <v>1.2155974716649431</v>
      </c>
      <c r="D124">
        <f>COUNTIF(Sheet1!H:H,Planilha1!B124)</f>
        <v>4</v>
      </c>
      <c r="E124" s="3">
        <f>SUMIF(Sheet1!$H:$H,Planilha1!$B124,Sheet1!C:C)</f>
        <v>56</v>
      </c>
      <c r="F124" s="3">
        <f>SUMIF(Sheet1!$H:$H,Planilha1!$B124,Sheet1!O:O)</f>
        <v>46.189489858690649</v>
      </c>
      <c r="G124" s="3">
        <f>E124/F124</f>
        <v>1.2123970230310626</v>
      </c>
      <c r="H124" s="4">
        <f>E124/D124</f>
        <v>14</v>
      </c>
    </row>
    <row r="125" spans="2:8" x14ac:dyDescent="0.25">
      <c r="B125" t="str">
        <v>Dominic Calvert-Lewin</v>
      </c>
      <c r="C125" s="3">
        <f>AVERAGEIF(Sheet1!$H:$H,Planilha1!B125,Sheet1!X:X)</f>
        <v>0.84278695421074334</v>
      </c>
      <c r="D125">
        <f>COUNTIF(Sheet1!H:H,Planilha1!B125)</f>
        <v>2</v>
      </c>
      <c r="E125" s="3">
        <f>SUMIF(Sheet1!$H:$H,Planilha1!$B125,Sheet1!C:C)</f>
        <v>29</v>
      </c>
      <c r="F125" s="3">
        <f>SUMIF(Sheet1!$H:$H,Planilha1!$B125,Sheet1!O:O)</f>
        <v>34.320346532389522</v>
      </c>
      <c r="G125" s="3">
        <f>E125/F125</f>
        <v>0.84497981314470438</v>
      </c>
      <c r="H125" s="4">
        <f>E125/D125</f>
        <v>14.5</v>
      </c>
    </row>
    <row r="126" spans="2:8" x14ac:dyDescent="0.25">
      <c r="B126" t="str">
        <v>Dominic Solanke</v>
      </c>
      <c r="C126" s="3">
        <f>AVERAGEIF(Sheet1!$H:$H,Planilha1!B126,Sheet1!X:X)</f>
        <v>0.88756715612969195</v>
      </c>
      <c r="D126">
        <f>COUNTIF(Sheet1!H:H,Planilha1!B126)</f>
        <v>1</v>
      </c>
      <c r="E126" s="3">
        <f>SUMIF(Sheet1!$H:$H,Planilha1!$B126,Sheet1!C:C)</f>
        <v>19</v>
      </c>
      <c r="F126" s="3">
        <f>SUMIF(Sheet1!$H:$H,Planilha1!$B126,Sheet1!O:O)</f>
        <v>21.406830873340368</v>
      </c>
      <c r="G126" s="3">
        <f>E126/F126</f>
        <v>0.88756715612969195</v>
      </c>
      <c r="H126" s="4">
        <f>E126/D126</f>
        <v>19</v>
      </c>
    </row>
    <row r="127" spans="2:8" x14ac:dyDescent="0.25">
      <c r="B127" t="str">
        <v>Donyell Malen</v>
      </c>
      <c r="C127" s="3">
        <f>AVERAGEIF(Sheet1!$H:$H,Planilha1!B127,Sheet1!X:X)</f>
        <v>1.38594601430775</v>
      </c>
      <c r="D127">
        <f>COUNTIF(Sheet1!H:H,Planilha1!B127)</f>
        <v>1</v>
      </c>
      <c r="E127" s="3">
        <f>SUMIF(Sheet1!$H:$H,Planilha1!$B127,Sheet1!C:C)</f>
        <v>13</v>
      </c>
      <c r="F127" s="3">
        <f>SUMIF(Sheet1!$H:$H,Planilha1!$B127,Sheet1!O:O)</f>
        <v>9.3798747323453444</v>
      </c>
      <c r="G127" s="3">
        <f>E127/F127</f>
        <v>1.3859460143077496</v>
      </c>
      <c r="H127" s="4">
        <f>E127/D127</f>
        <v>13</v>
      </c>
    </row>
    <row r="128" spans="2:8" x14ac:dyDescent="0.25">
      <c r="B128" t="str">
        <v>Dries Mertens</v>
      </c>
      <c r="C128" s="3">
        <f>AVERAGEIF(Sheet1!$H:$H,Planilha1!B128,Sheet1!X:X)</f>
        <v>1.355370937276368</v>
      </c>
      <c r="D128">
        <f>COUNTIF(Sheet1!H:H,Planilha1!B128)</f>
        <v>4</v>
      </c>
      <c r="E128" s="3">
        <f>SUMIF(Sheet1!$H:$H,Planilha1!$B128,Sheet1!C:C)</f>
        <v>73</v>
      </c>
      <c r="F128" s="3">
        <f>SUMIF(Sheet1!$H:$H,Planilha1!$B128,Sheet1!O:O)</f>
        <v>61.657103130593889</v>
      </c>
      <c r="G128" s="3">
        <f>E128/F128</f>
        <v>1.1839673986204167</v>
      </c>
      <c r="H128" s="4">
        <f>E128/D128</f>
        <v>18.25</v>
      </c>
    </row>
    <row r="129" spans="2:8" x14ac:dyDescent="0.25">
      <c r="B129" t="str">
        <v>Dusan Vlahovic</v>
      </c>
      <c r="C129" s="3">
        <f>AVERAGEIF(Sheet1!$H:$H,Planilha1!B129,Sheet1!X:X)</f>
        <v>0.98510621527001874</v>
      </c>
      <c r="D129">
        <f>COUNTIF(Sheet1!H:H,Planilha1!B129)</f>
        <v>5</v>
      </c>
      <c r="E129" s="3">
        <f>SUMIF(Sheet1!$H:$H,Planilha1!$B129,Sheet1!C:C)</f>
        <v>81</v>
      </c>
      <c r="F129" s="3">
        <f>SUMIF(Sheet1!$H:$H,Planilha1!$B129,Sheet1!O:O)</f>
        <v>80.727667467668653</v>
      </c>
      <c r="G129" s="3">
        <f>E129/F129</f>
        <v>1.0033734720805654</v>
      </c>
      <c r="H129" s="4">
        <f>E129/D129</f>
        <v>16.2</v>
      </c>
    </row>
    <row r="130" spans="2:8" x14ac:dyDescent="0.25">
      <c r="B130" t="str">
        <v>Duván Zapata</v>
      </c>
      <c r="C130" s="3">
        <f>AVERAGEIF(Sheet1!$H:$H,Planilha1!B130,Sheet1!X:X)</f>
        <v>0.95441942433721061</v>
      </c>
      <c r="D130">
        <f>COUNTIF(Sheet1!H:H,Planilha1!B130)</f>
        <v>7</v>
      </c>
      <c r="E130" s="3">
        <f>SUMIF(Sheet1!$H:$H,Planilha1!$B130,Sheet1!C:C)</f>
        <v>100</v>
      </c>
      <c r="F130" s="3">
        <f>SUMIF(Sheet1!$H:$H,Planilha1!$B130,Sheet1!O:O)</f>
        <v>105.09817021060734</v>
      </c>
      <c r="G130" s="3">
        <f>E130/F130</f>
        <v>0.95149135136804897</v>
      </c>
      <c r="H130" s="4">
        <f>E130/D130</f>
        <v>14.285714285714286</v>
      </c>
    </row>
    <row r="131" spans="2:8" x14ac:dyDescent="0.25">
      <c r="B131" t="str">
        <v>Eberechi Eze</v>
      </c>
      <c r="C131" s="3">
        <f>AVERAGEIF(Sheet1!$H:$H,Planilha1!B131,Sheet1!X:X)</f>
        <v>1.3186604012221737</v>
      </c>
      <c r="D131">
        <f>COUNTIF(Sheet1!H:H,Planilha1!B131)</f>
        <v>2</v>
      </c>
      <c r="E131" s="3">
        <f>SUMIF(Sheet1!$H:$H,Planilha1!$B131,Sheet1!C:C)</f>
        <v>21</v>
      </c>
      <c r="F131" s="3">
        <f>SUMIF(Sheet1!$H:$H,Planilha1!$B131,Sheet1!O:O)</f>
        <v>16.204873329028487</v>
      </c>
      <c r="G131" s="3">
        <f>E131/F131</f>
        <v>1.2959064581135475</v>
      </c>
      <c r="H131" s="4">
        <f>E131/D131</f>
        <v>10.5</v>
      </c>
    </row>
    <row r="132" spans="2:8" x14ac:dyDescent="0.25">
      <c r="B132" t="str">
        <v>Eden Hazard</v>
      </c>
      <c r="C132" s="3">
        <f>AVERAGEIF(Sheet1!$H:$H,Planilha1!B132,Sheet1!X:X)</f>
        <v>1.4041090245803662</v>
      </c>
      <c r="D132">
        <f>COUNTIF(Sheet1!H:H,Planilha1!B132)</f>
        <v>3</v>
      </c>
      <c r="E132" s="3">
        <f>SUMIF(Sheet1!$H:$H,Planilha1!$B132,Sheet1!C:C)</f>
        <v>44</v>
      </c>
      <c r="F132" s="3">
        <f>SUMIF(Sheet1!$H:$H,Planilha1!$B132,Sheet1!O:O)</f>
        <v>31.544315600767732</v>
      </c>
      <c r="G132" s="3">
        <f>E132/F132</f>
        <v>1.3948630414707466</v>
      </c>
      <c r="H132" s="4">
        <f>E132/D132</f>
        <v>14.666666666666666</v>
      </c>
    </row>
    <row r="133" spans="2:8" x14ac:dyDescent="0.25">
      <c r="B133" t="str">
        <v>Éder</v>
      </c>
      <c r="C133" s="3">
        <f>AVERAGEIF(Sheet1!$H:$H,Planilha1!B133,Sheet1!X:X)</f>
        <v>1.3179824083080749</v>
      </c>
      <c r="D133">
        <f>COUNTIF(Sheet1!H:H,Planilha1!B133)</f>
        <v>1</v>
      </c>
      <c r="E133" s="3">
        <f>SUMIF(Sheet1!$H:$H,Planilha1!$B133,Sheet1!C:C)</f>
        <v>13</v>
      </c>
      <c r="F133" s="3">
        <f>SUMIF(Sheet1!$H:$H,Planilha1!$B133,Sheet1!O:O)</f>
        <v>9.8635610900819302</v>
      </c>
      <c r="G133" s="3">
        <f>E133/F133</f>
        <v>1.3179824083080747</v>
      </c>
      <c r="H133" s="4">
        <f>E133/D133</f>
        <v>13</v>
      </c>
    </row>
    <row r="134" spans="2:8" x14ac:dyDescent="0.25">
      <c r="B134" t="str">
        <v>Edin Dzeko</v>
      </c>
      <c r="C134" s="3">
        <f>AVERAGEIF(Sheet1!$H:$H,Planilha1!B134,Sheet1!X:X)</f>
        <v>0.84555822901351663</v>
      </c>
      <c r="D134">
        <f>COUNTIF(Sheet1!H:H,Planilha1!B134)</f>
        <v>4</v>
      </c>
      <c r="E134" s="3">
        <f>SUMIF(Sheet1!$H:$H,Planilha1!$B134,Sheet1!C:C)</f>
        <v>74</v>
      </c>
      <c r="F134" s="3">
        <f>SUMIF(Sheet1!$H:$H,Planilha1!$B134,Sheet1!O:O)</f>
        <v>87.015688933432102</v>
      </c>
      <c r="G134" s="3">
        <f>E134/F134</f>
        <v>0.85042135397687613</v>
      </c>
      <c r="H134" s="4">
        <f>E134/D134</f>
        <v>18.5</v>
      </c>
    </row>
    <row r="135" spans="2:8" x14ac:dyDescent="0.25">
      <c r="B135" t="str">
        <v>Edinson Cavani</v>
      </c>
      <c r="C135" s="3">
        <f>AVERAGEIF(Sheet1!$H:$H,Planilha1!B135,Sheet1!X:X)</f>
        <v>1.0327748057136015</v>
      </c>
      <c r="D135">
        <f>COUNTIF(Sheet1!H:H,Planilha1!B135)</f>
        <v>6</v>
      </c>
      <c r="E135" s="3">
        <f>SUMIF(Sheet1!$H:$H,Planilha1!$B135,Sheet1!C:C)</f>
        <v>128</v>
      </c>
      <c r="F135" s="3">
        <f>SUMIF(Sheet1!$H:$H,Planilha1!$B135,Sheet1!O:O)</f>
        <v>127.4666937245056</v>
      </c>
      <c r="G135" s="3">
        <f>E135/F135</f>
        <v>1.0041838872564393</v>
      </c>
      <c r="H135" s="4">
        <f>E135/D135</f>
        <v>21.333333333333332</v>
      </c>
    </row>
    <row r="136" spans="2:8" x14ac:dyDescent="0.25">
      <c r="B136" t="str">
        <v>Eduard Spertsyan</v>
      </c>
      <c r="C136" s="3">
        <f>AVERAGEIF(Sheet1!$H:$H,Planilha1!B136,Sheet1!X:X)</f>
        <v>1.1273499757536345</v>
      </c>
      <c r="D136">
        <f>COUNTIF(Sheet1!H:H,Planilha1!B136)</f>
        <v>2</v>
      </c>
      <c r="E136" s="3">
        <f>SUMIF(Sheet1!$H:$H,Planilha1!$B136,Sheet1!C:C)</f>
        <v>22</v>
      </c>
      <c r="F136" s="3">
        <f>SUMIF(Sheet1!$H:$H,Planilha1!$B136,Sheet1!O:O)</f>
        <v>19.601041709072891</v>
      </c>
      <c r="G136" s="3">
        <f>E136/F136</f>
        <v>1.1223893263701736</v>
      </c>
      <c r="H136" s="4">
        <f>E136/D136</f>
        <v>11</v>
      </c>
    </row>
    <row r="137" spans="2:8" x14ac:dyDescent="0.25">
      <c r="B137" t="str">
        <v>Eldor Shomurodov</v>
      </c>
      <c r="C137" s="3">
        <f>AVERAGEIF(Sheet1!$H:$H,Planilha1!B137,Sheet1!X:X)</f>
        <v>1.153968040013138</v>
      </c>
      <c r="D137">
        <f>COUNTIF(Sheet1!H:H,Planilha1!B137)</f>
        <v>1</v>
      </c>
      <c r="E137" s="3">
        <f>SUMIF(Sheet1!$H:$H,Planilha1!$B137,Sheet1!C:C)</f>
        <v>11</v>
      </c>
      <c r="F137" s="3">
        <f>SUMIF(Sheet1!$H:$H,Planilha1!$B137,Sheet1!O:O)</f>
        <v>9.5323263891041279</v>
      </c>
      <c r="G137" s="3">
        <f>E137/F137</f>
        <v>1.1539680400131376</v>
      </c>
      <c r="H137" s="4">
        <f>E137/D137</f>
        <v>11</v>
      </c>
    </row>
    <row r="138" spans="2:8" x14ac:dyDescent="0.25">
      <c r="B138" t="str">
        <v>Elijah Adebayo</v>
      </c>
      <c r="C138" s="3">
        <f>AVERAGEIF(Sheet1!$H:$H,Planilha1!B138,Sheet1!X:X)</f>
        <v>1.5081179227309081</v>
      </c>
      <c r="D138">
        <f>COUNTIF(Sheet1!H:H,Planilha1!B138)</f>
        <v>1</v>
      </c>
      <c r="E138" s="3">
        <f>SUMIF(Sheet1!$H:$H,Planilha1!$B138,Sheet1!C:C)</f>
        <v>10</v>
      </c>
      <c r="F138" s="3">
        <f>SUMIF(Sheet1!$H:$H,Planilha1!$B138,Sheet1!O:O)</f>
        <v>6.6307812202721834</v>
      </c>
      <c r="G138" s="3">
        <f>E138/F138</f>
        <v>1.5081179227309078</v>
      </c>
      <c r="H138" s="4">
        <f>E138/D138</f>
        <v>10</v>
      </c>
    </row>
    <row r="139" spans="2:8" x14ac:dyDescent="0.25">
      <c r="B139" t="str">
        <v>Emanuel Emegha</v>
      </c>
      <c r="C139" s="3">
        <f>AVERAGEIF(Sheet1!$H:$H,Planilha1!B139,Sheet1!X:X)</f>
        <v>0.79433816567250992</v>
      </c>
      <c r="D139">
        <f>COUNTIF(Sheet1!H:H,Planilha1!B139)</f>
        <v>1</v>
      </c>
      <c r="E139" s="3">
        <f>SUMIF(Sheet1!$H:$H,Planilha1!$B139,Sheet1!C:C)</f>
        <v>14</v>
      </c>
      <c r="F139" s="3">
        <f>SUMIF(Sheet1!$H:$H,Planilha1!$B139,Sheet1!O:O)</f>
        <v>17.624735414981838</v>
      </c>
      <c r="G139" s="3">
        <f>E139/F139</f>
        <v>0.79433816567251014</v>
      </c>
      <c r="H139" s="4">
        <f>E139/D139</f>
        <v>14</v>
      </c>
    </row>
    <row r="140" spans="2:8" x14ac:dyDescent="0.25">
      <c r="B140" t="str">
        <v>Emile Smith-Rowe</v>
      </c>
      <c r="C140" s="3">
        <f>AVERAGEIF(Sheet1!$H:$H,Planilha1!B140,Sheet1!X:X)</f>
        <v>1.8643332897398099</v>
      </c>
      <c r="D140">
        <f>COUNTIF(Sheet1!H:H,Planilha1!B140)</f>
        <v>1</v>
      </c>
      <c r="E140" s="3">
        <f>SUMIF(Sheet1!$H:$H,Planilha1!$B140,Sheet1!C:C)</f>
        <v>10</v>
      </c>
      <c r="F140" s="3">
        <f>SUMIF(Sheet1!$H:$H,Planilha1!$B140,Sheet1!O:O)</f>
        <v>5.3638477921485901</v>
      </c>
      <c r="G140" s="3">
        <f>E140/F140</f>
        <v>1.8643332897398104</v>
      </c>
      <c r="H140" s="4">
        <f>E140/D140</f>
        <v>10</v>
      </c>
    </row>
    <row r="141" spans="2:8" x14ac:dyDescent="0.25">
      <c r="B141" t="str">
        <v>Emiliano Sala</v>
      </c>
      <c r="C141" s="3">
        <f>AVERAGEIF(Sheet1!$H:$H,Planilha1!B141,Sheet1!X:X)</f>
        <v>1.2310206796154086</v>
      </c>
      <c r="D141">
        <f>COUNTIF(Sheet1!H:H,Planilha1!B141)</f>
        <v>3</v>
      </c>
      <c r="E141" s="3">
        <f>SUMIF(Sheet1!$H:$H,Planilha1!$B141,Sheet1!C:C)</f>
        <v>36</v>
      </c>
      <c r="F141" s="3">
        <f>SUMIF(Sheet1!$H:$H,Planilha1!$B141,Sheet1!O:O)</f>
        <v>32.83394290227443</v>
      </c>
      <c r="G141" s="3">
        <f>E141/F141</f>
        <v>1.0964263447478388</v>
      </c>
      <c r="H141" s="4">
        <f>E141/D141</f>
        <v>12</v>
      </c>
    </row>
    <row r="142" spans="2:8" x14ac:dyDescent="0.25">
      <c r="B142" t="str">
        <v>Emmanuel Dennis</v>
      </c>
      <c r="C142" s="3">
        <f>AVERAGEIF(Sheet1!$H:$H,Planilha1!B142,Sheet1!X:X)</f>
        <v>1.427183661543493</v>
      </c>
      <c r="D142">
        <f>COUNTIF(Sheet1!H:H,Planilha1!B142)</f>
        <v>1</v>
      </c>
      <c r="E142" s="3">
        <f>SUMIF(Sheet1!$H:$H,Planilha1!$B142,Sheet1!C:C)</f>
        <v>10</v>
      </c>
      <c r="F142" s="3">
        <f>SUMIF(Sheet1!$H:$H,Planilha1!$B142,Sheet1!O:O)</f>
        <v>7.0068066706880927</v>
      </c>
      <c r="G142" s="3">
        <f>E142/F142</f>
        <v>1.4271836615434925</v>
      </c>
      <c r="H142" s="4">
        <f>E142/D142</f>
        <v>10</v>
      </c>
    </row>
    <row r="143" spans="2:8" x14ac:dyDescent="0.25">
      <c r="B143" t="str">
        <v>Enes Ünal</v>
      </c>
      <c r="C143" s="3">
        <f>AVERAGEIF(Sheet1!$H:$H,Planilha1!B143,Sheet1!X:X)</f>
        <v>1.305854421103797</v>
      </c>
      <c r="D143">
        <f>COUNTIF(Sheet1!H:H,Planilha1!B143)</f>
        <v>2</v>
      </c>
      <c r="E143" s="3">
        <f>SUMIF(Sheet1!$H:$H,Planilha1!$B143,Sheet1!C:C)</f>
        <v>30</v>
      </c>
      <c r="F143" s="3">
        <f>SUMIF(Sheet1!$H:$H,Planilha1!$B143,Sheet1!O:O)</f>
        <v>22.990712576545782</v>
      </c>
      <c r="G143" s="3">
        <f>E143/F143</f>
        <v>1.3048747358359312</v>
      </c>
      <c r="H143" s="4">
        <f>E143/D143</f>
        <v>15</v>
      </c>
    </row>
    <row r="144" spans="2:8" x14ac:dyDescent="0.25">
      <c r="B144" t="str">
        <v>Enzo Crivelli</v>
      </c>
      <c r="C144" s="3">
        <f>AVERAGEIF(Sheet1!$H:$H,Planilha1!B144,Sheet1!X:X)</f>
        <v>1.2723865392321061</v>
      </c>
      <c r="D144">
        <f>COUNTIF(Sheet1!H:H,Planilha1!B144)</f>
        <v>1</v>
      </c>
      <c r="E144" s="3">
        <f>SUMIF(Sheet1!$H:$H,Planilha1!$B144,Sheet1!C:C)</f>
        <v>10</v>
      </c>
      <c r="F144" s="3">
        <f>SUMIF(Sheet1!$H:$H,Planilha1!$B144,Sheet1!O:O)</f>
        <v>7.8592469282448292</v>
      </c>
      <c r="G144" s="3">
        <f>E144/F144</f>
        <v>1.2723865392321063</v>
      </c>
      <c r="H144" s="4">
        <f>E144/D144</f>
        <v>10</v>
      </c>
    </row>
    <row r="145" spans="2:8" x14ac:dyDescent="0.25">
      <c r="B145" t="str">
        <v>Eric Bicfalvi</v>
      </c>
      <c r="C145" s="3">
        <f>AVERAGEIF(Sheet1!$H:$H,Planilha1!B145,Sheet1!X:X)</f>
        <v>1.2693768219459181</v>
      </c>
      <c r="D145">
        <f>COUNTIF(Sheet1!H:H,Planilha1!B145)</f>
        <v>1</v>
      </c>
      <c r="E145" s="3">
        <f>SUMIF(Sheet1!$H:$H,Planilha1!$B145,Sheet1!C:C)</f>
        <v>10</v>
      </c>
      <c r="F145" s="3">
        <f>SUMIF(Sheet1!$H:$H,Planilha1!$B145,Sheet1!O:O)</f>
        <v>7.8778813565149903</v>
      </c>
      <c r="G145" s="3">
        <f>E145/F145</f>
        <v>1.2693768219459185</v>
      </c>
      <c r="H145" s="4">
        <f>E145/D145</f>
        <v>10</v>
      </c>
    </row>
    <row r="146" spans="2:8" x14ac:dyDescent="0.25">
      <c r="B146" t="str">
        <v>Eric Maxim Choupo-Moting</v>
      </c>
      <c r="C146" s="3">
        <f>AVERAGEIF(Sheet1!$H:$H,Planilha1!B146,Sheet1!X:X)</f>
        <v>1.1983514890020179</v>
      </c>
      <c r="D146">
        <f>COUNTIF(Sheet1!H:H,Planilha1!B146)</f>
        <v>1</v>
      </c>
      <c r="E146" s="3">
        <f>SUMIF(Sheet1!$H:$H,Planilha1!$B146,Sheet1!C:C)</f>
        <v>10</v>
      </c>
      <c r="F146" s="3">
        <f>SUMIF(Sheet1!$H:$H,Planilha1!$B146,Sheet1!O:O)</f>
        <v>8.3447970747947693</v>
      </c>
      <c r="G146" s="3">
        <f>E146/F146</f>
        <v>1.1983514890020184</v>
      </c>
      <c r="H146" s="4">
        <f>E146/D146</f>
        <v>10</v>
      </c>
    </row>
    <row r="147" spans="2:8" x14ac:dyDescent="0.25">
      <c r="B147" t="str">
        <v>Erling Haaland</v>
      </c>
      <c r="C147" s="3">
        <f>AVERAGEIF(Sheet1!$H:$H,Planilha1!B147,Sheet1!X:X)</f>
        <v>1.1280935144123652</v>
      </c>
      <c r="D147">
        <f>COUNTIF(Sheet1!H:H,Planilha1!B147)</f>
        <v>6</v>
      </c>
      <c r="E147" s="3">
        <f>SUMIF(Sheet1!$H:$H,Planilha1!$B147,Sheet1!C:C)</f>
        <v>147</v>
      </c>
      <c r="F147" s="3">
        <f>SUMIF(Sheet1!$H:$H,Planilha1!$B147,Sheet1!O:O)</f>
        <v>137.88878394290805</v>
      </c>
      <c r="G147" s="3">
        <f>E147/F147</f>
        <v>1.0660765567478236</v>
      </c>
      <c r="H147" s="4">
        <f>E147/D147</f>
        <v>24.5</v>
      </c>
    </row>
    <row r="148" spans="2:8" x14ac:dyDescent="0.25">
      <c r="B148" t="str">
        <v>Ermedin Demirovic</v>
      </c>
      <c r="C148" s="3">
        <f>AVERAGEIF(Sheet1!$H:$H,Planilha1!B148,Sheet1!X:X)</f>
        <v>0.95689656693309788</v>
      </c>
      <c r="D148">
        <f>COUNTIF(Sheet1!H:H,Planilha1!B148)</f>
        <v>2</v>
      </c>
      <c r="E148" s="3">
        <f>SUMIF(Sheet1!$H:$H,Planilha1!$B148,Sheet1!C:C)</f>
        <v>30</v>
      </c>
      <c r="F148" s="3">
        <f>SUMIF(Sheet1!$H:$H,Planilha1!$B148,Sheet1!O:O)</f>
        <v>31.596609271131449</v>
      </c>
      <c r="G148" s="3">
        <f>E148/F148</f>
        <v>0.94946896809619996</v>
      </c>
      <c r="H148" s="4">
        <f>E148/D148</f>
        <v>15</v>
      </c>
    </row>
    <row r="149" spans="2:8" x14ac:dyDescent="0.25">
      <c r="B149" t="str">
        <v>Esequiel Barco</v>
      </c>
      <c r="C149" s="3">
        <f>AVERAGEIF(Sheet1!$H:$H,Planilha1!B149,Sheet1!X:X)</f>
        <v>1.130616724712151</v>
      </c>
      <c r="D149">
        <f>COUNTIF(Sheet1!H:H,Planilha1!B149)</f>
        <v>1</v>
      </c>
      <c r="E149" s="3">
        <f>SUMIF(Sheet1!$H:$H,Planilha1!$B149,Sheet1!C:C)</f>
        <v>12</v>
      </c>
      <c r="F149" s="3">
        <f>SUMIF(Sheet1!$H:$H,Planilha1!$B149,Sheet1!O:O)</f>
        <v>10.613676357083021</v>
      </c>
      <c r="G149" s="3">
        <f>E149/F149</f>
        <v>1.130616724712151</v>
      </c>
      <c r="H149" s="4">
        <f>E149/D149</f>
        <v>12</v>
      </c>
    </row>
    <row r="150" spans="2:8" x14ac:dyDescent="0.25">
      <c r="B150" t="str">
        <v>Evanilson</v>
      </c>
      <c r="C150" s="3">
        <f>AVERAGEIF(Sheet1!$H:$H,Planilha1!B150,Sheet1!X:X)</f>
        <v>0.72916749893409161</v>
      </c>
      <c r="D150">
        <f>COUNTIF(Sheet1!H:H,Planilha1!B150)</f>
        <v>1</v>
      </c>
      <c r="E150" s="3">
        <f>SUMIF(Sheet1!$H:$H,Planilha1!$B150,Sheet1!C:C)</f>
        <v>10</v>
      </c>
      <c r="F150" s="3">
        <f>SUMIF(Sheet1!$H:$H,Planilha1!$B150,Sheet1!O:O)</f>
        <v>13.714270060881971</v>
      </c>
      <c r="G150" s="3">
        <f>E150/F150</f>
        <v>0.72916749893409172</v>
      </c>
      <c r="H150" s="4">
        <f>E150/D150</f>
        <v>10</v>
      </c>
    </row>
    <row r="151" spans="2:8" x14ac:dyDescent="0.25">
      <c r="B151" t="str">
        <v>Evann Guessand</v>
      </c>
      <c r="C151" s="3">
        <f>AVERAGEIF(Sheet1!$H:$H,Planilha1!B151,Sheet1!X:X)</f>
        <v>1.226328894228776</v>
      </c>
      <c r="D151">
        <f>COUNTIF(Sheet1!H:H,Planilha1!B151)</f>
        <v>1</v>
      </c>
      <c r="E151" s="3">
        <f>SUMIF(Sheet1!$H:$H,Planilha1!$B151,Sheet1!C:C)</f>
        <v>12</v>
      </c>
      <c r="F151" s="3">
        <f>SUMIF(Sheet1!$H:$H,Planilha1!$B151,Sheet1!O:O)</f>
        <v>9.7853031568229198</v>
      </c>
      <c r="G151" s="3">
        <f>E151/F151</f>
        <v>1.2263288942287758</v>
      </c>
      <c r="H151" s="4">
        <f>E151/D151</f>
        <v>12</v>
      </c>
    </row>
    <row r="152" spans="2:8" x14ac:dyDescent="0.25">
      <c r="B152" t="str">
        <v>Evgeni Lutsenko</v>
      </c>
      <c r="C152" s="3">
        <f>AVERAGEIF(Sheet1!$H:$H,Planilha1!B152,Sheet1!X:X)</f>
        <v>2.0160872000068562</v>
      </c>
      <c r="D152">
        <f>COUNTIF(Sheet1!H:H,Planilha1!B152)</f>
        <v>2</v>
      </c>
      <c r="E152" s="3">
        <f>SUMIF(Sheet1!$H:$H,Planilha1!$B152,Sheet1!C:C)</f>
        <v>25</v>
      </c>
      <c r="F152" s="3">
        <f>SUMIF(Sheet1!$H:$H,Planilha1!$B152,Sheet1!O:O)</f>
        <v>12.466107914224267</v>
      </c>
      <c r="G152" s="3">
        <f>E152/F152</f>
        <v>2.0054374767183045</v>
      </c>
      <c r="H152" s="4">
        <f>E152/D152</f>
        <v>12.5</v>
      </c>
    </row>
    <row r="153" spans="2:8" x14ac:dyDescent="0.25">
      <c r="B153" t="str">
        <v>Ezequiel Ávila</v>
      </c>
      <c r="C153" s="3">
        <f>AVERAGEIF(Sheet1!$H:$H,Planilha1!B153,Sheet1!X:X)</f>
        <v>1.4292904023455351</v>
      </c>
      <c r="D153">
        <f>COUNTIF(Sheet1!H:H,Planilha1!B153)</f>
        <v>1</v>
      </c>
      <c r="E153" s="3">
        <f>SUMIF(Sheet1!$H:$H,Planilha1!$B153,Sheet1!C:C)</f>
        <v>10</v>
      </c>
      <c r="F153" s="3">
        <f>SUMIF(Sheet1!$H:$H,Planilha1!$B153,Sheet1!O:O)</f>
        <v>6.9964788006618619</v>
      </c>
      <c r="G153" s="3">
        <f>E153/F153</f>
        <v>1.4292904023455353</v>
      </c>
      <c r="H153" s="4">
        <f>E153/D153</f>
        <v>10</v>
      </c>
    </row>
    <row r="154" spans="2:8" x14ac:dyDescent="0.25">
      <c r="B154" t="str">
        <v>Fabio Quagliarella</v>
      </c>
      <c r="C154" s="3">
        <f>AVERAGEIF(Sheet1!$H:$H,Planilha1!B154,Sheet1!X:X)</f>
        <v>1.0089990894628249</v>
      </c>
      <c r="D154">
        <f>COUNTIF(Sheet1!H:H,Planilha1!B154)</f>
        <v>6</v>
      </c>
      <c r="E154" s="3">
        <f>SUMIF(Sheet1!$H:$H,Planilha1!$B154,Sheet1!C:C)</f>
        <v>94</v>
      </c>
      <c r="F154" s="3">
        <f>SUMIF(Sheet1!$H:$H,Planilha1!$B154,Sheet1!O:O)</f>
        <v>92.582730693742633</v>
      </c>
      <c r="G154" s="3">
        <f>E154/F154</f>
        <v>1.0153081389546135</v>
      </c>
      <c r="H154" s="4">
        <f>E154/D154</f>
        <v>15.666666666666666</v>
      </c>
    </row>
    <row r="155" spans="2:8" x14ac:dyDescent="0.25">
      <c r="B155" t="str">
        <v>Fabio Silva</v>
      </c>
      <c r="C155" s="3">
        <f>AVERAGEIF(Sheet1!$H:$H,Planilha1!B155,Sheet1!X:X)</f>
        <v>1.077895271598257</v>
      </c>
      <c r="D155">
        <f>COUNTIF(Sheet1!H:H,Planilha1!B155)</f>
        <v>1</v>
      </c>
      <c r="E155" s="3">
        <f>SUMIF(Sheet1!$H:$H,Planilha1!$B155,Sheet1!C:C)</f>
        <v>10</v>
      </c>
      <c r="F155" s="3">
        <f>SUMIF(Sheet1!$H:$H,Planilha1!$B155,Sheet1!O:O)</f>
        <v>9.2773391474038363</v>
      </c>
      <c r="G155" s="3">
        <f>E155/F155</f>
        <v>1.077895271598257</v>
      </c>
      <c r="H155" s="4">
        <f>E155/D155</f>
        <v>10</v>
      </c>
    </row>
    <row r="156" spans="2:8" x14ac:dyDescent="0.25">
      <c r="B156" t="str">
        <v>Falcao</v>
      </c>
      <c r="C156" s="3">
        <f>AVERAGEIF(Sheet1!$H:$H,Planilha1!B156,Sheet1!X:X)</f>
        <v>1.1957966054176126</v>
      </c>
      <c r="D156">
        <f>COUNTIF(Sheet1!H:H,Planilha1!B156)</f>
        <v>3</v>
      </c>
      <c r="E156" s="3">
        <f>SUMIF(Sheet1!$H:$H,Planilha1!$B156,Sheet1!C:C)</f>
        <v>54</v>
      </c>
      <c r="F156" s="3">
        <f>SUMIF(Sheet1!$H:$H,Planilha1!$B156,Sheet1!O:O)</f>
        <v>45.195079102646545</v>
      </c>
      <c r="G156" s="3">
        <f>E156/F156</f>
        <v>1.1948203448732952</v>
      </c>
      <c r="H156" s="4">
        <f>E156/D156</f>
        <v>18</v>
      </c>
    </row>
    <row r="157" spans="2:8" x14ac:dyDescent="0.25">
      <c r="B157" t="str">
        <v>Federico Bernardeschi</v>
      </c>
      <c r="C157" s="3">
        <f>AVERAGEIF(Sheet1!$H:$H,Planilha1!B157,Sheet1!X:X)</f>
        <v>1.503723373399946</v>
      </c>
      <c r="D157">
        <f>COUNTIF(Sheet1!H:H,Planilha1!B157)</f>
        <v>1</v>
      </c>
      <c r="E157" s="3">
        <f>SUMIF(Sheet1!$H:$H,Planilha1!$B157,Sheet1!C:C)</f>
        <v>11</v>
      </c>
      <c r="F157" s="3">
        <f>SUMIF(Sheet1!$H:$H,Planilha1!$B157,Sheet1!O:O)</f>
        <v>7.3151752473786473</v>
      </c>
      <c r="G157" s="3">
        <f>E157/F157</f>
        <v>1.5037233733999456</v>
      </c>
      <c r="H157" s="4">
        <f>E157/D157</f>
        <v>11</v>
      </c>
    </row>
    <row r="158" spans="2:8" x14ac:dyDescent="0.25">
      <c r="B158" t="str">
        <v>Federico Bonazzoli</v>
      </c>
      <c r="C158" s="3">
        <f>AVERAGEIF(Sheet1!$H:$H,Planilha1!B158,Sheet1!X:X)</f>
        <v>1.2758607546022851</v>
      </c>
      <c r="D158">
        <f>COUNTIF(Sheet1!H:H,Planilha1!B158)</f>
        <v>1</v>
      </c>
      <c r="E158" s="3">
        <f>SUMIF(Sheet1!$H:$H,Planilha1!$B158,Sheet1!C:C)</f>
        <v>10</v>
      </c>
      <c r="F158" s="3">
        <f>SUMIF(Sheet1!$H:$H,Planilha1!$B158,Sheet1!O:O)</f>
        <v>7.8378459122031927</v>
      </c>
      <c r="G158" s="3">
        <f>E158/F158</f>
        <v>1.2758607546022849</v>
      </c>
      <c r="H158" s="4">
        <f>E158/D158</f>
        <v>10</v>
      </c>
    </row>
    <row r="159" spans="2:8" x14ac:dyDescent="0.25">
      <c r="B159" t="str">
        <v>Fedor Chalov</v>
      </c>
      <c r="C159" s="3">
        <f>AVERAGEIF(Sheet1!$H:$H,Planilha1!B159,Sheet1!X:X)</f>
        <v>1.1051041529923726</v>
      </c>
      <c r="D159">
        <f>COUNTIF(Sheet1!H:H,Planilha1!B159)</f>
        <v>3</v>
      </c>
      <c r="E159" s="3">
        <f>SUMIF(Sheet1!$H:$H,Planilha1!$B159,Sheet1!C:C)</f>
        <v>47</v>
      </c>
      <c r="F159" s="3">
        <f>SUMIF(Sheet1!$H:$H,Planilha1!$B159,Sheet1!O:O)</f>
        <v>43.256831953302026</v>
      </c>
      <c r="G159" s="3">
        <f>E159/F159</f>
        <v>1.0865335688646574</v>
      </c>
      <c r="H159" s="4">
        <f>E159/D159</f>
        <v>15.666666666666666</v>
      </c>
    </row>
    <row r="160" spans="2:8" x14ac:dyDescent="0.25">
      <c r="B160" t="str">
        <v>Fedor Smolov</v>
      </c>
      <c r="C160" s="3">
        <f>AVERAGEIF(Sheet1!$H:$H,Planilha1!B160,Sheet1!X:X)</f>
        <v>1.387352026427737</v>
      </c>
      <c r="D160">
        <f>COUNTIF(Sheet1!H:H,Planilha1!B160)</f>
        <v>5</v>
      </c>
      <c r="E160" s="3">
        <f>SUMIF(Sheet1!$H:$H,Planilha1!$B160,Sheet1!C:C)</f>
        <v>74</v>
      </c>
      <c r="F160" s="3">
        <f>SUMIF(Sheet1!$H:$H,Planilha1!$B160,Sheet1!O:O)</f>
        <v>53.4891501609236</v>
      </c>
      <c r="G160" s="3">
        <f>E160/F160</f>
        <v>1.3834581364140006</v>
      </c>
      <c r="H160" s="4">
        <f>E160/D160</f>
        <v>14.8</v>
      </c>
    </row>
    <row r="161" spans="2:8" x14ac:dyDescent="0.25">
      <c r="B161" t="str">
        <v>Felipe Anderson</v>
      </c>
      <c r="C161" s="3">
        <f>AVERAGEIF(Sheet1!$H:$H,Planilha1!B161,Sheet1!X:X)</f>
        <v>1.573790296005674</v>
      </c>
      <c r="D161">
        <f>COUNTIF(Sheet1!H:H,Planilha1!B161)</f>
        <v>1</v>
      </c>
      <c r="E161" s="3">
        <f>SUMIF(Sheet1!$H:$H,Planilha1!$B161,Sheet1!C:C)</f>
        <v>10</v>
      </c>
      <c r="F161" s="3">
        <f>SUMIF(Sheet1!$H:$H,Planilha1!$B161,Sheet1!O:O)</f>
        <v>6.3540867073461413</v>
      </c>
      <c r="G161" s="3">
        <f>E161/F161</f>
        <v>1.5737902960056736</v>
      </c>
      <c r="H161" s="4">
        <f>E161/D161</f>
        <v>10</v>
      </c>
    </row>
    <row r="162" spans="2:8" x14ac:dyDescent="0.25">
      <c r="B162" t="str">
        <v>Fernando Llorente</v>
      </c>
      <c r="C162" s="3">
        <f>AVERAGEIF(Sheet1!$H:$H,Planilha1!B162,Sheet1!X:X)</f>
        <v>1.8683189865913341</v>
      </c>
      <c r="D162">
        <f>COUNTIF(Sheet1!H:H,Planilha1!B162)</f>
        <v>1</v>
      </c>
      <c r="E162" s="3">
        <f>SUMIF(Sheet1!$H:$H,Planilha1!$B162,Sheet1!C:C)</f>
        <v>15</v>
      </c>
      <c r="F162" s="3">
        <f>SUMIF(Sheet1!$H:$H,Planilha1!$B162,Sheet1!O:O)</f>
        <v>8.0286075919866562</v>
      </c>
      <c r="G162" s="3">
        <f>E162/F162</f>
        <v>1.8683189865913341</v>
      </c>
      <c r="H162" s="4">
        <f>E162/D162</f>
        <v>15</v>
      </c>
    </row>
    <row r="163" spans="2:8" x14ac:dyDescent="0.25">
      <c r="B163" t="str">
        <v>Fernando Torres</v>
      </c>
      <c r="C163" s="3">
        <f>AVERAGEIF(Sheet1!$H:$H,Planilha1!B163,Sheet1!X:X)</f>
        <v>1.280251156226941</v>
      </c>
      <c r="D163">
        <f>COUNTIF(Sheet1!H:H,Planilha1!B163)</f>
        <v>1</v>
      </c>
      <c r="E163" s="3">
        <f>SUMIF(Sheet1!$H:$H,Planilha1!$B163,Sheet1!C:C)</f>
        <v>11</v>
      </c>
      <c r="F163" s="3">
        <f>SUMIF(Sheet1!$H:$H,Planilha1!$B163,Sheet1!O:O)</f>
        <v>8.5920641012489796</v>
      </c>
      <c r="G163" s="3">
        <f>E163/F163</f>
        <v>1.2802511562269412</v>
      </c>
      <c r="H163" s="4">
        <f>E163/D163</f>
        <v>11</v>
      </c>
    </row>
    <row r="164" spans="2:8" x14ac:dyDescent="0.25">
      <c r="B164" t="str">
        <v>Ferrán Torres</v>
      </c>
      <c r="C164" s="3">
        <f>AVERAGEIF(Sheet1!$H:$H,Planilha1!B164,Sheet1!X:X)</f>
        <v>1.032801492485903</v>
      </c>
      <c r="D164">
        <f>COUNTIF(Sheet1!H:H,Planilha1!B164)</f>
        <v>1</v>
      </c>
      <c r="E164" s="3">
        <f>SUMIF(Sheet1!$H:$H,Planilha1!$B164,Sheet1!C:C)</f>
        <v>10</v>
      </c>
      <c r="F164" s="3">
        <f>SUMIF(Sheet1!$H:$H,Planilha1!$B164,Sheet1!O:O)</f>
        <v>9.6824027393013239</v>
      </c>
      <c r="G164" s="3">
        <f>E164/F164</f>
        <v>1.0328014924859028</v>
      </c>
      <c r="H164" s="4">
        <f>E164/D164</f>
        <v>10</v>
      </c>
    </row>
    <row r="165" spans="2:8" x14ac:dyDescent="0.25">
      <c r="B165" t="str">
        <v>Florian Niederlechner</v>
      </c>
      <c r="C165" s="3">
        <f>AVERAGEIF(Sheet1!$H:$H,Planilha1!B165,Sheet1!X:X)</f>
        <v>0.96986133288997711</v>
      </c>
      <c r="D165">
        <f>COUNTIF(Sheet1!H:H,Planilha1!B165)</f>
        <v>2</v>
      </c>
      <c r="E165" s="3">
        <f>SUMIF(Sheet1!$H:$H,Planilha1!$B165,Sheet1!C:C)</f>
        <v>24</v>
      </c>
      <c r="F165" s="3">
        <f>SUMIF(Sheet1!$H:$H,Planilha1!$B165,Sheet1!O:O)</f>
        <v>24.903793624602258</v>
      </c>
      <c r="G165" s="3">
        <f>E165/F165</f>
        <v>0.96370859644012596</v>
      </c>
      <c r="H165" s="4">
        <f>E165/D165</f>
        <v>12</v>
      </c>
    </row>
    <row r="166" spans="2:8" x14ac:dyDescent="0.25">
      <c r="B166" t="str">
        <v>Florian Thauvin</v>
      </c>
      <c r="C166" s="3">
        <f>AVERAGEIF(Sheet1!$H:$H,Planilha1!B166,Sheet1!X:X)</f>
        <v>1.3861605406203985</v>
      </c>
      <c r="D166">
        <f>COUNTIF(Sheet1!H:H,Planilha1!B166)</f>
        <v>3</v>
      </c>
      <c r="E166" s="3">
        <f>SUMIF(Sheet1!$H:$H,Planilha1!$B166,Sheet1!C:C)</f>
        <v>53</v>
      </c>
      <c r="F166" s="3">
        <f>SUMIF(Sheet1!$H:$H,Planilha1!$B166,Sheet1!O:O)</f>
        <v>38.931046441197395</v>
      </c>
      <c r="G166" s="3">
        <f>E166/F166</f>
        <v>1.3613813355891362</v>
      </c>
      <c r="H166" s="4">
        <f>E166/D166</f>
        <v>17.666666666666668</v>
      </c>
    </row>
    <row r="167" spans="2:8" x14ac:dyDescent="0.25">
      <c r="B167" t="str">
        <v>Florian Wirtz</v>
      </c>
      <c r="C167" s="3">
        <f>AVERAGEIF(Sheet1!$H:$H,Planilha1!B167,Sheet1!X:X)</f>
        <v>0.99466437973383237</v>
      </c>
      <c r="D167">
        <f>COUNTIF(Sheet1!H:H,Planilha1!B167)</f>
        <v>1</v>
      </c>
      <c r="E167" s="3">
        <f>SUMIF(Sheet1!$H:$H,Planilha1!$B167,Sheet1!C:C)</f>
        <v>10</v>
      </c>
      <c r="F167" s="3">
        <f>SUMIF(Sheet1!$H:$H,Planilha1!$B167,Sheet1!O:O)</f>
        <v>10.05364241823554</v>
      </c>
      <c r="G167" s="3">
        <f>E167/F167</f>
        <v>0.99466437973383237</v>
      </c>
      <c r="H167" s="4">
        <f>E167/D167</f>
        <v>10</v>
      </c>
    </row>
    <row r="168" spans="2:8" x14ac:dyDescent="0.25">
      <c r="B168" t="str">
        <v>Florin Andone</v>
      </c>
      <c r="C168" s="3">
        <f>AVERAGEIF(Sheet1!$H:$H,Planilha1!B168,Sheet1!X:X)</f>
        <v>1.054092842458711</v>
      </c>
      <c r="D168">
        <f>COUNTIF(Sheet1!H:H,Planilha1!B168)</f>
        <v>1</v>
      </c>
      <c r="E168" s="3">
        <f>SUMIF(Sheet1!$H:$H,Planilha1!$B168,Sheet1!C:C)</f>
        <v>12</v>
      </c>
      <c r="F168" s="3">
        <f>SUMIF(Sheet1!$H:$H,Planilha1!$B168,Sheet1!O:O)</f>
        <v>11.384196454659101</v>
      </c>
      <c r="G168" s="3">
        <f>E168/F168</f>
        <v>1.0540928424587117</v>
      </c>
      <c r="H168" s="4">
        <f>E168/D168</f>
        <v>12</v>
      </c>
    </row>
    <row r="169" spans="2:8" x14ac:dyDescent="0.25">
      <c r="B169" t="str">
        <v>Folarin Balogun</v>
      </c>
      <c r="C169" s="3">
        <f>AVERAGEIF(Sheet1!$H:$H,Planilha1!B169,Sheet1!X:X)</f>
        <v>0.80642445528904516</v>
      </c>
      <c r="D169">
        <f>COUNTIF(Sheet1!H:H,Planilha1!B169)</f>
        <v>1</v>
      </c>
      <c r="E169" s="3">
        <f>SUMIF(Sheet1!$H:$H,Planilha1!$B169,Sheet1!C:C)</f>
        <v>21</v>
      </c>
      <c r="F169" s="3">
        <f>SUMIF(Sheet1!$H:$H,Planilha1!$B169,Sheet1!O:O)</f>
        <v>26.04087693803012</v>
      </c>
      <c r="G169" s="3">
        <f>E169/F169</f>
        <v>0.80642445528904527</v>
      </c>
      <c r="H169" s="4">
        <f>E169/D169</f>
        <v>21</v>
      </c>
    </row>
    <row r="170" spans="2:8" x14ac:dyDescent="0.25">
      <c r="B170" t="str">
        <v>Francesco Caputo</v>
      </c>
      <c r="C170" s="3">
        <f>AVERAGEIF(Sheet1!$H:$H,Planilha1!B170,Sheet1!X:X)</f>
        <v>1.0820285028795971</v>
      </c>
      <c r="D170">
        <f>COUNTIF(Sheet1!H:H,Planilha1!B170)</f>
        <v>4</v>
      </c>
      <c r="E170" s="3">
        <f>SUMIF(Sheet1!$H:$H,Planilha1!$B170,Sheet1!C:C)</f>
        <v>59</v>
      </c>
      <c r="F170" s="3">
        <f>SUMIF(Sheet1!$H:$H,Planilha1!$B170,Sheet1!O:O)</f>
        <v>54.818811949342489</v>
      </c>
      <c r="G170" s="3">
        <f>E170/F170</f>
        <v>1.0762728687830978</v>
      </c>
      <c r="H170" s="4">
        <f>E170/D170</f>
        <v>14.75</v>
      </c>
    </row>
    <row r="171" spans="2:8" x14ac:dyDescent="0.25">
      <c r="B171" t="str">
        <v>Franco Di Santo</v>
      </c>
      <c r="C171" s="3">
        <f>AVERAGEIF(Sheet1!$H:$H,Planilha1!B171,Sheet1!X:X)</f>
        <v>1.380362563903192</v>
      </c>
      <c r="D171">
        <f>COUNTIF(Sheet1!H:H,Planilha1!B171)</f>
        <v>1</v>
      </c>
      <c r="E171" s="3">
        <f>SUMIF(Sheet1!$H:$H,Planilha1!$B171,Sheet1!C:C)</f>
        <v>13</v>
      </c>
      <c r="F171" s="3">
        <f>SUMIF(Sheet1!$H:$H,Planilha1!$B171,Sheet1!O:O)</f>
        <v>9.4178155362606049</v>
      </c>
      <c r="G171" s="3">
        <f>E171/F171</f>
        <v>1.3803625639031916</v>
      </c>
      <c r="H171" s="4">
        <f>E171/D171</f>
        <v>13</v>
      </c>
    </row>
    <row r="172" spans="2:8" x14ac:dyDescent="0.25">
      <c r="B172" t="str">
        <v>Franco Vázquez</v>
      </c>
      <c r="C172" s="3">
        <f>AVERAGEIF(Sheet1!$H:$H,Planilha1!B172,Sheet1!X:X)</f>
        <v>1.0967398472745571</v>
      </c>
      <c r="D172">
        <f>COUNTIF(Sheet1!H:H,Planilha1!B172)</f>
        <v>1</v>
      </c>
      <c r="E172" s="3">
        <f>SUMIF(Sheet1!$H:$H,Planilha1!$B172,Sheet1!C:C)</f>
        <v>10</v>
      </c>
      <c r="F172" s="3">
        <f>SUMIF(Sheet1!$H:$H,Planilha1!$B172,Sheet1!O:O)</f>
        <v>9.1179325934499502</v>
      </c>
      <c r="G172" s="3">
        <f>E172/F172</f>
        <v>1.0967398472745566</v>
      </c>
      <c r="H172" s="4">
        <f>E172/D172</f>
        <v>10</v>
      </c>
    </row>
    <row r="173" spans="2:8" x14ac:dyDescent="0.25">
      <c r="B173" t="str">
        <v>Gabriel Jesus</v>
      </c>
      <c r="C173" s="3">
        <f>AVERAGEIF(Sheet1!$H:$H,Planilha1!B173,Sheet1!X:X)</f>
        <v>0.73080747804324908</v>
      </c>
      <c r="D173">
        <f>COUNTIF(Sheet1!H:H,Planilha1!B173)</f>
        <v>3</v>
      </c>
      <c r="E173" s="3">
        <f>SUMIF(Sheet1!$H:$H,Planilha1!$B173,Sheet1!C:C)</f>
        <v>38</v>
      </c>
      <c r="F173" s="3">
        <f>SUMIF(Sheet1!$H:$H,Planilha1!$B173,Sheet1!O:O)</f>
        <v>52.552519688382745</v>
      </c>
      <c r="G173" s="3">
        <f>E173/F173</f>
        <v>0.72308616647357971</v>
      </c>
      <c r="H173" s="4">
        <f>E173/D173</f>
        <v>12.666666666666666</v>
      </c>
    </row>
    <row r="174" spans="2:8" x14ac:dyDescent="0.25">
      <c r="B174" t="str">
        <v>Gabriel Martinelli</v>
      </c>
      <c r="C174" s="3">
        <f>AVERAGEIF(Sheet1!$H:$H,Planilha1!B174,Sheet1!X:X)</f>
        <v>1.423401851991269</v>
      </c>
      <c r="D174">
        <f>COUNTIF(Sheet1!H:H,Planilha1!B174)</f>
        <v>1</v>
      </c>
      <c r="E174" s="3">
        <f>SUMIF(Sheet1!$H:$H,Planilha1!$B174,Sheet1!C:C)</f>
        <v>15</v>
      </c>
      <c r="F174" s="3">
        <f>SUMIF(Sheet1!$H:$H,Planilha1!$B174,Sheet1!O:O)</f>
        <v>10.53813438490033</v>
      </c>
      <c r="G174" s="3">
        <f>E174/F174</f>
        <v>1.4234018519912688</v>
      </c>
      <c r="H174" s="4">
        <f>E174/D174</f>
        <v>15</v>
      </c>
    </row>
    <row r="175" spans="2:8" x14ac:dyDescent="0.25">
      <c r="B175" t="str">
        <v>Gabriel Veiga</v>
      </c>
      <c r="C175" s="3">
        <f>AVERAGEIF(Sheet1!$H:$H,Planilha1!B175,Sheet1!X:X)</f>
        <v>1.8092675362256549</v>
      </c>
      <c r="D175">
        <f>COUNTIF(Sheet1!H:H,Planilha1!B175)</f>
        <v>1</v>
      </c>
      <c r="E175" s="3">
        <f>SUMIF(Sheet1!$H:$H,Planilha1!$B175,Sheet1!C:C)</f>
        <v>11</v>
      </c>
      <c r="F175" s="3">
        <f>SUMIF(Sheet1!$H:$H,Planilha1!$B175,Sheet1!O:O)</f>
        <v>6.0798084195703268</v>
      </c>
      <c r="G175" s="3">
        <f>E175/F175</f>
        <v>1.8092675362256552</v>
      </c>
      <c r="H175" s="4">
        <f>E175/D175</f>
        <v>11</v>
      </c>
    </row>
    <row r="176" spans="2:8" x14ac:dyDescent="0.25">
      <c r="B176" t="str">
        <v>Gaël Kakuta</v>
      </c>
      <c r="C176" s="3">
        <f>AVERAGEIF(Sheet1!$H:$H,Planilha1!B176,Sheet1!X:X)</f>
        <v>0.99998870242281546</v>
      </c>
      <c r="D176">
        <f>COUNTIF(Sheet1!H:H,Planilha1!B176)</f>
        <v>1</v>
      </c>
      <c r="E176" s="3">
        <f>SUMIF(Sheet1!$H:$H,Planilha1!$B176,Sheet1!C:C)</f>
        <v>11</v>
      </c>
      <c r="F176" s="3">
        <f>SUMIF(Sheet1!$H:$H,Planilha1!$B176,Sheet1!O:O)</f>
        <v>11.000124274753031</v>
      </c>
      <c r="G176" s="3">
        <f>E176/F176</f>
        <v>0.99998870242281568</v>
      </c>
      <c r="H176" s="4">
        <f>E176/D176</f>
        <v>11</v>
      </c>
    </row>
    <row r="177" spans="2:8" x14ac:dyDescent="0.25">
      <c r="B177" t="str">
        <v>Gaetan Laborde</v>
      </c>
      <c r="C177" s="3">
        <f>AVERAGEIF(Sheet1!$H:$H,Planilha1!B177,Sheet1!X:X)</f>
        <v>1.0638594101856174</v>
      </c>
      <c r="D177">
        <f>COUNTIF(Sheet1!H:H,Planilha1!B177)</f>
        <v>5</v>
      </c>
      <c r="E177" s="3">
        <f>SUMIF(Sheet1!$H:$H,Planilha1!$B177,Sheet1!C:C)</f>
        <v>68</v>
      </c>
      <c r="F177" s="3">
        <f>SUMIF(Sheet1!$H:$H,Planilha1!$B177,Sheet1!O:O)</f>
        <v>66.427192569710314</v>
      </c>
      <c r="G177" s="3">
        <f>E177/F177</f>
        <v>1.0236771624608272</v>
      </c>
      <c r="H177" s="4">
        <f>E177/D177</f>
        <v>13.6</v>
      </c>
    </row>
    <row r="178" spans="2:8" x14ac:dyDescent="0.25">
      <c r="B178" t="str">
        <v>Gaetan Perrin</v>
      </c>
      <c r="C178" s="3">
        <f>AVERAGEIF(Sheet1!$H:$H,Planilha1!B178,Sheet1!X:X)</f>
        <v>1.6189051059802171</v>
      </c>
      <c r="D178">
        <f>COUNTIF(Sheet1!H:H,Planilha1!B178)</f>
        <v>1</v>
      </c>
      <c r="E178" s="3">
        <f>SUMIF(Sheet1!$H:$H,Planilha1!$B178,Sheet1!C:C)</f>
        <v>10</v>
      </c>
      <c r="F178" s="3">
        <f>SUMIF(Sheet1!$H:$H,Planilha1!$B178,Sheet1!O:O)</f>
        <v>6.1770143061876297</v>
      </c>
      <c r="G178" s="3">
        <f>E178/F178</f>
        <v>1.6189051059802169</v>
      </c>
      <c r="H178" s="4">
        <f>E178/D178</f>
        <v>10</v>
      </c>
    </row>
    <row r="179" spans="2:8" x14ac:dyDescent="0.25">
      <c r="B179" t="str">
        <v>Gamid Agalarov</v>
      </c>
      <c r="C179" s="3">
        <f>AVERAGEIF(Sheet1!$H:$H,Planilha1!B179,Sheet1!X:X)</f>
        <v>1.3340241125442991</v>
      </c>
      <c r="D179">
        <f>COUNTIF(Sheet1!H:H,Planilha1!B179)</f>
        <v>1</v>
      </c>
      <c r="E179" s="3">
        <f>SUMIF(Sheet1!$H:$H,Planilha1!$B179,Sheet1!C:C)</f>
        <v>19</v>
      </c>
      <c r="F179" s="3">
        <f>SUMIF(Sheet1!$H:$H,Planilha1!$B179,Sheet1!O:O)</f>
        <v>14.242621120065451</v>
      </c>
      <c r="G179" s="3">
        <f>E179/F179</f>
        <v>1.3340241125442989</v>
      </c>
      <c r="H179" s="4">
        <f>E179/D179</f>
        <v>19</v>
      </c>
    </row>
    <row r="180" spans="2:8" x14ac:dyDescent="0.25">
      <c r="B180" t="str">
        <v>Gareth Bale</v>
      </c>
      <c r="C180" s="3">
        <f>AVERAGEIF(Sheet1!$H:$H,Planilha1!B180,Sheet1!X:X)</f>
        <v>1.3392769983105055</v>
      </c>
      <c r="D180">
        <f>COUNTIF(Sheet1!H:H,Planilha1!B180)</f>
        <v>3</v>
      </c>
      <c r="E180" s="3">
        <f>SUMIF(Sheet1!$H:$H,Planilha1!$B180,Sheet1!C:C)</f>
        <v>48</v>
      </c>
      <c r="F180" s="3">
        <f>SUMIF(Sheet1!$H:$H,Planilha1!$B180,Sheet1!O:O)</f>
        <v>36.94286217354238</v>
      </c>
      <c r="G180" s="3">
        <f>E180/F180</f>
        <v>1.2993037673831478</v>
      </c>
      <c r="H180" s="4">
        <f>E180/D180</f>
        <v>16</v>
      </c>
    </row>
    <row r="181" spans="2:8" x14ac:dyDescent="0.25">
      <c r="B181" t="str">
        <v>Georges Mikautadze</v>
      </c>
      <c r="C181" s="3">
        <f>AVERAGEIF(Sheet1!$H:$H,Planilha1!B181,Sheet1!X:X)</f>
        <v>1.1541690715975572</v>
      </c>
      <c r="D181">
        <f>COUNTIF(Sheet1!H:H,Planilha1!B181)</f>
        <v>2</v>
      </c>
      <c r="E181" s="3">
        <f>SUMIF(Sheet1!$H:$H,Planilha1!$B181,Sheet1!C:C)</f>
        <v>24</v>
      </c>
      <c r="F181" s="3">
        <f>SUMIF(Sheet1!$H:$H,Planilha1!$B181,Sheet1!O:O)</f>
        <v>21.100903857499368</v>
      </c>
      <c r="G181" s="3">
        <f>E181/F181</f>
        <v>1.1373920360037222</v>
      </c>
      <c r="H181" s="4">
        <f>E181/D181</f>
        <v>12</v>
      </c>
    </row>
    <row r="182" spans="2:8" x14ac:dyDescent="0.25">
      <c r="B182" t="str">
        <v>Gerard Deulofeu</v>
      </c>
      <c r="C182" s="3">
        <f>AVERAGEIF(Sheet1!$H:$H,Planilha1!B182,Sheet1!X:X)</f>
        <v>1.3137676846007624</v>
      </c>
      <c r="D182">
        <f>COUNTIF(Sheet1!H:H,Planilha1!B182)</f>
        <v>2</v>
      </c>
      <c r="E182" s="3">
        <f>SUMIF(Sheet1!$H:$H,Planilha1!$B182,Sheet1!C:C)</f>
        <v>23</v>
      </c>
      <c r="F182" s="3">
        <f>SUMIF(Sheet1!$H:$H,Planilha1!$B182,Sheet1!O:O)</f>
        <v>17.440065857023001</v>
      </c>
      <c r="G182" s="3">
        <f>E182/F182</f>
        <v>1.318802359380888</v>
      </c>
      <c r="H182" s="4">
        <f>E182/D182</f>
        <v>11.5</v>
      </c>
    </row>
    <row r="183" spans="2:8" x14ac:dyDescent="0.25">
      <c r="B183" t="str">
        <v>Gerard Moreno</v>
      </c>
      <c r="C183" s="3">
        <f>AVERAGEIF(Sheet1!$H:$H,Planilha1!B183,Sheet1!X:X)</f>
        <v>1.1794881760358882</v>
      </c>
      <c r="D183">
        <f>COUNTIF(Sheet1!H:H,Planilha1!B183)</f>
        <v>5</v>
      </c>
      <c r="E183" s="3">
        <f>SUMIF(Sheet1!$H:$H,Planilha1!$B183,Sheet1!C:C)</f>
        <v>80</v>
      </c>
      <c r="F183" s="3">
        <f>SUMIF(Sheet1!$H:$H,Planilha1!$B183,Sheet1!O:O)</f>
        <v>69.155578782781959</v>
      </c>
      <c r="G183" s="3">
        <f>E183/F183</f>
        <v>1.1568119507940267</v>
      </c>
      <c r="H183" s="4">
        <f>E183/D183</f>
        <v>16</v>
      </c>
    </row>
    <row r="184" spans="2:8" x14ac:dyDescent="0.25">
      <c r="B184" t="str">
        <v>Gervinho</v>
      </c>
      <c r="C184" s="3">
        <f>AVERAGEIF(Sheet1!$H:$H,Planilha1!B184,Sheet1!X:X)</f>
        <v>1.433819632393275</v>
      </c>
      <c r="D184">
        <f>COUNTIF(Sheet1!H:H,Planilha1!B184)</f>
        <v>1</v>
      </c>
      <c r="E184" s="3">
        <f>SUMIF(Sheet1!$H:$H,Planilha1!$B184,Sheet1!C:C)</f>
        <v>11</v>
      </c>
      <c r="F184" s="3">
        <f>SUMIF(Sheet1!$H:$H,Planilha1!$B184,Sheet1!O:O)</f>
        <v>7.6718157231807709</v>
      </c>
      <c r="G184" s="3">
        <f>E184/F184</f>
        <v>1.433819632393275</v>
      </c>
      <c r="H184" s="4">
        <f>E184/D184</f>
        <v>11</v>
      </c>
    </row>
    <row r="185" spans="2:8" x14ac:dyDescent="0.25">
      <c r="B185" t="str">
        <v>Giacomo Raspadori</v>
      </c>
      <c r="C185" s="3">
        <f>AVERAGEIF(Sheet1!$H:$H,Planilha1!B185,Sheet1!X:X)</f>
        <v>1.239368113805656</v>
      </c>
      <c r="D185">
        <f>COUNTIF(Sheet1!H:H,Planilha1!B185)</f>
        <v>1</v>
      </c>
      <c r="E185" s="3">
        <f>SUMIF(Sheet1!$H:$H,Planilha1!$B185,Sheet1!C:C)</f>
        <v>10</v>
      </c>
      <c r="F185" s="3">
        <f>SUMIF(Sheet1!$H:$H,Planilha1!$B185,Sheet1!O:O)</f>
        <v>8.0686277858912945</v>
      </c>
      <c r="G185" s="3">
        <f>E185/F185</f>
        <v>1.239368113805656</v>
      </c>
      <c r="H185" s="4">
        <f>E185/D185</f>
        <v>10</v>
      </c>
    </row>
    <row r="186" spans="2:8" x14ac:dyDescent="0.25">
      <c r="B186" t="str">
        <v>Gianluca Caprari</v>
      </c>
      <c r="C186" s="3">
        <f>AVERAGEIF(Sheet1!$H:$H,Planilha1!B186,Sheet1!X:X)</f>
        <v>1.677337591249153</v>
      </c>
      <c r="D186">
        <f>COUNTIF(Sheet1!H:H,Planilha1!B186)</f>
        <v>1</v>
      </c>
      <c r="E186" s="3">
        <f>SUMIF(Sheet1!$H:$H,Planilha1!$B186,Sheet1!C:C)</f>
        <v>12</v>
      </c>
      <c r="F186" s="3">
        <f>SUMIF(Sheet1!$H:$H,Planilha1!$B186,Sheet1!O:O)</f>
        <v>7.1541948756203064</v>
      </c>
      <c r="G186" s="3">
        <f>E186/F186</f>
        <v>1.6773375912491533</v>
      </c>
      <c r="H186" s="4">
        <f>E186/D186</f>
        <v>12</v>
      </c>
    </row>
    <row r="187" spans="2:8" x14ac:dyDescent="0.25">
      <c r="B187" t="str">
        <v>Gianluca Lapadula</v>
      </c>
      <c r="C187" s="3">
        <f>AVERAGEIF(Sheet1!$H:$H,Planilha1!B187,Sheet1!X:X)</f>
        <v>1.1186231536288029</v>
      </c>
      <c r="D187">
        <f>COUNTIF(Sheet1!H:H,Planilha1!B187)</f>
        <v>1</v>
      </c>
      <c r="E187" s="3">
        <f>SUMIF(Sheet1!$H:$H,Planilha1!$B187,Sheet1!C:C)</f>
        <v>11</v>
      </c>
      <c r="F187" s="3">
        <f>SUMIF(Sheet1!$H:$H,Planilha1!$B187,Sheet1!O:O)</f>
        <v>9.8335171807557344</v>
      </c>
      <c r="G187" s="3">
        <f>E187/F187</f>
        <v>1.1186231536288034</v>
      </c>
      <c r="H187" s="4">
        <f>E187/D187</f>
        <v>11</v>
      </c>
    </row>
    <row r="188" spans="2:8" x14ac:dyDescent="0.25">
      <c r="B188" t="str">
        <v>Gianluca Scamacca</v>
      </c>
      <c r="C188" s="3">
        <f>AVERAGEIF(Sheet1!$H:$H,Planilha1!B188,Sheet1!X:X)</f>
        <v>1.4442179379016267</v>
      </c>
      <c r="D188">
        <f>COUNTIF(Sheet1!H:H,Planilha1!B188)</f>
        <v>2</v>
      </c>
      <c r="E188" s="3">
        <f>SUMIF(Sheet1!$H:$H,Planilha1!$B188,Sheet1!C:C)</f>
        <v>28</v>
      </c>
      <c r="F188" s="3">
        <f>SUMIF(Sheet1!$H:$H,Planilha1!$B188,Sheet1!O:O)</f>
        <v>19.399759839288897</v>
      </c>
      <c r="G188" s="3">
        <f>E188/F188</f>
        <v>1.443316836494732</v>
      </c>
      <c r="H188" s="4">
        <f>E188/D188</f>
        <v>14</v>
      </c>
    </row>
    <row r="189" spans="2:8" x14ac:dyDescent="0.25">
      <c r="B189" t="str">
        <v>Giovanni Simeone</v>
      </c>
      <c r="C189" s="3">
        <f>AVERAGEIF(Sheet1!$H:$H,Planilha1!B189,Sheet1!X:X)</f>
        <v>1.0697436533290914</v>
      </c>
      <c r="D189">
        <f>COUNTIF(Sheet1!H:H,Planilha1!B189)</f>
        <v>4</v>
      </c>
      <c r="E189" s="3">
        <f>SUMIF(Sheet1!$H:$H,Planilha1!$B189,Sheet1!C:C)</f>
        <v>55</v>
      </c>
      <c r="F189" s="3">
        <f>SUMIF(Sheet1!$H:$H,Planilha1!$B189,Sheet1!O:O)</f>
        <v>51.838326778262854</v>
      </c>
      <c r="G189" s="3">
        <f>E189/F189</f>
        <v>1.0609910353638752</v>
      </c>
      <c r="H189" s="4">
        <f>E189/D189</f>
        <v>13.75</v>
      </c>
    </row>
    <row r="190" spans="2:8" x14ac:dyDescent="0.25">
      <c r="B190" t="str">
        <v>Giovanni Sio</v>
      </c>
      <c r="C190" s="3">
        <f>AVERAGEIF(Sheet1!$H:$H,Planilha1!B190,Sheet1!X:X)</f>
        <v>0.85793647268038831</v>
      </c>
      <c r="D190">
        <f>COUNTIF(Sheet1!H:H,Planilha1!B190)</f>
        <v>1</v>
      </c>
      <c r="E190" s="3">
        <f>SUMIF(Sheet1!$H:$H,Planilha1!$B190,Sheet1!C:C)</f>
        <v>10</v>
      </c>
      <c r="F190" s="3">
        <f>SUMIF(Sheet1!$H:$H,Planilha1!$B190,Sheet1!O:O)</f>
        <v>11.655874669551849</v>
      </c>
      <c r="G190" s="3">
        <f>E190/F190</f>
        <v>0.85793647268038831</v>
      </c>
      <c r="H190" s="4">
        <f>E190/D190</f>
        <v>10</v>
      </c>
    </row>
    <row r="191" spans="2:8" x14ac:dyDescent="0.25">
      <c r="B191" t="str">
        <v>Glenn Murray</v>
      </c>
      <c r="C191" s="3">
        <f>AVERAGEIF(Sheet1!$H:$H,Planilha1!B191,Sheet1!X:X)</f>
        <v>1.0478218667312427</v>
      </c>
      <c r="D191">
        <f>COUNTIF(Sheet1!H:H,Planilha1!B191)</f>
        <v>2</v>
      </c>
      <c r="E191" s="3">
        <f>SUMIF(Sheet1!$H:$H,Planilha1!$B191,Sheet1!C:C)</f>
        <v>25</v>
      </c>
      <c r="F191" s="3">
        <f>SUMIF(Sheet1!$H:$H,Planilha1!$B191,Sheet1!O:O)</f>
        <v>23.921943063847721</v>
      </c>
      <c r="G191" s="3">
        <f>E191/F191</f>
        <v>1.0450656091470054</v>
      </c>
      <c r="H191" s="4">
        <f>E191/D191</f>
        <v>12.5</v>
      </c>
    </row>
    <row r="192" spans="2:8" x14ac:dyDescent="0.25">
      <c r="B192" t="str">
        <v>Gonçalo Guedes</v>
      </c>
      <c r="C192" s="3">
        <f>AVERAGEIF(Sheet1!$H:$H,Planilha1!B192,Sheet1!X:X)</f>
        <v>1.526571739955199</v>
      </c>
      <c r="D192">
        <f>COUNTIF(Sheet1!H:H,Planilha1!B192)</f>
        <v>1</v>
      </c>
      <c r="E192" s="3">
        <f>SUMIF(Sheet1!$H:$H,Planilha1!$B192,Sheet1!C:C)</f>
        <v>11</v>
      </c>
      <c r="F192" s="3">
        <f>SUMIF(Sheet1!$H:$H,Planilha1!$B192,Sheet1!O:O)</f>
        <v>7.2056882176548243</v>
      </c>
      <c r="G192" s="3">
        <f>E192/F192</f>
        <v>1.5265717399551988</v>
      </c>
      <c r="H192" s="4">
        <f>E192/D192</f>
        <v>11</v>
      </c>
    </row>
    <row r="193" spans="2:8" x14ac:dyDescent="0.25">
      <c r="B193" t="str">
        <v>Gonçalo Ramos</v>
      </c>
      <c r="C193" s="3">
        <f>AVERAGEIF(Sheet1!$H:$H,Planilha1!B193,Sheet1!X:X)</f>
        <v>0.85507851837807958</v>
      </c>
      <c r="D193">
        <f>COUNTIF(Sheet1!H:H,Planilha1!B193)</f>
        <v>2</v>
      </c>
      <c r="E193" s="3">
        <f>SUMIF(Sheet1!$H:$H,Planilha1!$B193,Sheet1!C:C)</f>
        <v>21</v>
      </c>
      <c r="F193" s="3">
        <f>SUMIF(Sheet1!$H:$H,Planilha1!$B193,Sheet1!O:O)</f>
        <v>26.308226354420178</v>
      </c>
      <c r="G193" s="3">
        <f>E193/F193</f>
        <v>0.7982294099606484</v>
      </c>
      <c r="H193" s="4">
        <f>E193/D193</f>
        <v>10.5</v>
      </c>
    </row>
    <row r="194" spans="2:8" x14ac:dyDescent="0.25">
      <c r="B194" t="str">
        <v>Gonzalo Higuaín</v>
      </c>
      <c r="C194" s="3">
        <f>AVERAGEIF(Sheet1!$H:$H,Planilha1!B194,Sheet1!X:X)</f>
        <v>1.150346749314318</v>
      </c>
      <c r="D194">
        <f>COUNTIF(Sheet1!H:H,Planilha1!B194)</f>
        <v>4</v>
      </c>
      <c r="E194" s="3">
        <f>SUMIF(Sheet1!$H:$H,Planilha1!$B194,Sheet1!C:C)</f>
        <v>94</v>
      </c>
      <c r="F194" s="3">
        <f>SUMIF(Sheet1!$H:$H,Planilha1!$B194,Sheet1!O:O)</f>
        <v>81.217123862355947</v>
      </c>
      <c r="G194" s="3">
        <f>E194/F194</f>
        <v>1.1573913914916274</v>
      </c>
      <c r="H194" s="4">
        <f>E194/D194</f>
        <v>23.5</v>
      </c>
    </row>
    <row r="195" spans="2:8" x14ac:dyDescent="0.25">
      <c r="B195" t="str">
        <v>Gorka Guruzeta</v>
      </c>
      <c r="C195" s="3">
        <f>AVERAGEIF(Sheet1!$H:$H,Planilha1!B195,Sheet1!X:X)</f>
        <v>1.071596176925478</v>
      </c>
      <c r="D195">
        <f>COUNTIF(Sheet1!H:H,Planilha1!B195)</f>
        <v>1</v>
      </c>
      <c r="E195" s="3">
        <f>SUMIF(Sheet1!$H:$H,Planilha1!$B195,Sheet1!C:C)</f>
        <v>14</v>
      </c>
      <c r="F195" s="3">
        <f>SUMIF(Sheet1!$H:$H,Planilha1!$B195,Sheet1!O:O)</f>
        <v>13.064622944220901</v>
      </c>
      <c r="G195" s="3">
        <f>E195/F195</f>
        <v>1.071596176925478</v>
      </c>
      <c r="H195" s="4">
        <f>E195/D195</f>
        <v>14</v>
      </c>
    </row>
    <row r="196" spans="2:8" x14ac:dyDescent="0.25">
      <c r="B196" t="str">
        <v>Graziano Pellè</v>
      </c>
      <c r="C196" s="3">
        <f>AVERAGEIF(Sheet1!$H:$H,Planilha1!B196,Sheet1!X:X)</f>
        <v>1.0705755506543178</v>
      </c>
      <c r="D196">
        <f>COUNTIF(Sheet1!H:H,Planilha1!B196)</f>
        <v>2</v>
      </c>
      <c r="E196" s="3">
        <f>SUMIF(Sheet1!$H:$H,Planilha1!$B196,Sheet1!C:C)</f>
        <v>23</v>
      </c>
      <c r="F196" s="3">
        <f>SUMIF(Sheet1!$H:$H,Planilha1!$B196,Sheet1!O:O)</f>
        <v>25.966685688123111</v>
      </c>
      <c r="G196" s="3">
        <f>E196/F196</f>
        <v>0.88575031393089798</v>
      </c>
      <c r="H196" s="4">
        <f>E196/D196</f>
        <v>11.5</v>
      </c>
    </row>
    <row r="197" spans="2:8" x14ac:dyDescent="0.25">
      <c r="B197" t="str">
        <v>Gregoire Defrel</v>
      </c>
      <c r="C197" s="3">
        <f>AVERAGEIF(Sheet1!$H:$H,Planilha1!B197,Sheet1!X:X)</f>
        <v>1.4106674963735895</v>
      </c>
      <c r="D197">
        <f>COUNTIF(Sheet1!H:H,Planilha1!B197)</f>
        <v>2</v>
      </c>
      <c r="E197" s="3">
        <f>SUMIF(Sheet1!$H:$H,Planilha1!$B197,Sheet1!C:C)</f>
        <v>23</v>
      </c>
      <c r="F197" s="3">
        <f>SUMIF(Sheet1!$H:$H,Planilha1!$B197,Sheet1!O:O)</f>
        <v>16.388341187499464</v>
      </c>
      <c r="G197" s="3">
        <f>E197/F197</f>
        <v>1.4034367320558174</v>
      </c>
      <c r="H197" s="4">
        <f>E197/D197</f>
        <v>11.5</v>
      </c>
    </row>
    <row r="198" spans="2:8" x14ac:dyDescent="0.25">
      <c r="B198" t="str">
        <v>Grejohn Kyei</v>
      </c>
      <c r="C198" s="3">
        <f>AVERAGEIF(Sheet1!$H:$H,Planilha1!B198,Sheet1!X:X)</f>
        <v>0.78272375311828069</v>
      </c>
      <c r="D198">
        <f>COUNTIF(Sheet1!H:H,Planilha1!B198)</f>
        <v>1</v>
      </c>
      <c r="E198" s="3">
        <f>SUMIF(Sheet1!$H:$H,Planilha1!$B198,Sheet1!C:C)</f>
        <v>10</v>
      </c>
      <c r="F198" s="3">
        <f>SUMIF(Sheet1!$H:$H,Planilha1!$B198,Sheet1!O:O)</f>
        <v>12.775899492204189</v>
      </c>
      <c r="G198" s="3">
        <f>E198/F198</f>
        <v>0.78272375311828069</v>
      </c>
      <c r="H198" s="4">
        <f>E198/D198</f>
        <v>10</v>
      </c>
    </row>
    <row r="199" spans="2:8" x14ac:dyDescent="0.25">
      <c r="B199" t="str">
        <v>Guido Burgstaller</v>
      </c>
      <c r="C199" s="3">
        <f>AVERAGEIF(Sheet1!$H:$H,Planilha1!B199,Sheet1!X:X)</f>
        <v>1.221748236051317</v>
      </c>
      <c r="D199">
        <f>COUNTIF(Sheet1!H:H,Planilha1!B199)</f>
        <v>1</v>
      </c>
      <c r="E199" s="3">
        <f>SUMIF(Sheet1!$H:$H,Planilha1!$B199,Sheet1!C:C)</f>
        <v>11</v>
      </c>
      <c r="F199" s="3">
        <f>SUMIF(Sheet1!$H:$H,Planilha1!$B199,Sheet1!O:O)</f>
        <v>9.0034916158765554</v>
      </c>
      <c r="G199" s="3">
        <f>E199/F199</f>
        <v>1.2217482360513165</v>
      </c>
      <c r="H199" s="4">
        <f>E199/D199</f>
        <v>11</v>
      </c>
    </row>
    <row r="200" spans="2:8" x14ac:dyDescent="0.25">
      <c r="B200" t="str">
        <v>Gylfi Sigurdsson</v>
      </c>
      <c r="C200" s="3">
        <f>AVERAGEIF(Sheet1!$H:$H,Planilha1!B200,Sheet1!X:X)</f>
        <v>1.249676601968031</v>
      </c>
      <c r="D200">
        <f>COUNTIF(Sheet1!H:H,Planilha1!B200)</f>
        <v>2</v>
      </c>
      <c r="E200" s="3">
        <f>SUMIF(Sheet1!$H:$H,Planilha1!$B200,Sheet1!C:C)</f>
        <v>24</v>
      </c>
      <c r="F200" s="3">
        <f>SUMIF(Sheet1!$H:$H,Planilha1!$B200,Sheet1!O:O)</f>
        <v>19.828981531783935</v>
      </c>
      <c r="G200" s="3">
        <f>E200/F200</f>
        <v>1.2103496067879396</v>
      </c>
      <c r="H200" s="4">
        <f>E200/D200</f>
        <v>12</v>
      </c>
    </row>
    <row r="201" spans="2:8" x14ac:dyDescent="0.25">
      <c r="B201" t="str">
        <v>Habib Diallo</v>
      </c>
      <c r="C201" s="3">
        <f>AVERAGEIF(Sheet1!$H:$H,Planilha1!B201,Sheet1!X:X)</f>
        <v>1.0907182930687733</v>
      </c>
      <c r="D201">
        <f>COUNTIF(Sheet1!H:H,Planilha1!B201)</f>
        <v>3</v>
      </c>
      <c r="E201" s="3">
        <f>SUMIF(Sheet1!$H:$H,Planilha1!$B201,Sheet1!C:C)</f>
        <v>43</v>
      </c>
      <c r="F201" s="3">
        <f>SUMIF(Sheet1!$H:$H,Planilha1!$B201,Sheet1!O:O)</f>
        <v>41.048178627155728</v>
      </c>
      <c r="G201" s="3">
        <f>E201/F201</f>
        <v>1.0475495244398745</v>
      </c>
      <c r="H201" s="4">
        <f>E201/D201</f>
        <v>14.333333333333334</v>
      </c>
    </row>
    <row r="202" spans="2:8" x14ac:dyDescent="0.25">
      <c r="B202" t="str">
        <v>Hamed Junior Traore</v>
      </c>
      <c r="C202" s="3">
        <f>AVERAGEIF(Sheet1!$H:$H,Planilha1!B202,Sheet1!X:X)</f>
        <v>1.3072659715952579</v>
      </c>
      <c r="D202">
        <f>COUNTIF(Sheet1!H:H,Planilha1!B202)</f>
        <v>1</v>
      </c>
      <c r="E202" s="3">
        <f>SUMIF(Sheet1!$H:$H,Planilha1!$B202,Sheet1!C:C)</f>
        <v>10</v>
      </c>
      <c r="F202" s="3">
        <f>SUMIF(Sheet1!$H:$H,Planilha1!$B202,Sheet1!O:O)</f>
        <v>7.6495527438819408</v>
      </c>
      <c r="G202" s="3">
        <f>E202/F202</f>
        <v>1.3072659715952584</v>
      </c>
      <c r="H202" s="4">
        <f>E202/D202</f>
        <v>10</v>
      </c>
    </row>
    <row r="203" spans="2:8" x14ac:dyDescent="0.25">
      <c r="B203" t="str">
        <v>Haris Seferovic</v>
      </c>
      <c r="C203" s="3">
        <f>AVERAGEIF(Sheet1!$H:$H,Planilha1!B203,Sheet1!X:X)</f>
        <v>1.05996903954294</v>
      </c>
      <c r="D203">
        <f>COUNTIF(Sheet1!H:H,Planilha1!B203)</f>
        <v>1</v>
      </c>
      <c r="E203" s="3">
        <f>SUMIF(Sheet1!$H:$H,Planilha1!$B203,Sheet1!C:C)</f>
        <v>10</v>
      </c>
      <c r="F203" s="3">
        <f>SUMIF(Sheet1!$H:$H,Planilha1!$B203,Sheet1!O:O)</f>
        <v>9.4342378191649914</v>
      </c>
      <c r="G203" s="3">
        <f>E203/F203</f>
        <v>1.0599690395429404</v>
      </c>
      <c r="H203" s="4">
        <f>E203/D203</f>
        <v>10</v>
      </c>
    </row>
    <row r="204" spans="2:8" x14ac:dyDescent="0.25">
      <c r="B204" t="str">
        <v>Harry Kane</v>
      </c>
      <c r="C204" s="3">
        <f>AVERAGEIF(Sheet1!$H:$H,Planilha1!B204,Sheet1!X:X)</f>
        <v>1.1459567619360698</v>
      </c>
      <c r="D204">
        <f>COUNTIF(Sheet1!H:H,Planilha1!B204)</f>
        <v>11</v>
      </c>
      <c r="E204" s="3">
        <f>SUMIF(Sheet1!$H:$H,Planilha1!$B204,Sheet1!C:C)</f>
        <v>272</v>
      </c>
      <c r="F204" s="3">
        <f>SUMIF(Sheet1!$H:$H,Planilha1!$B204,Sheet1!O:O)</f>
        <v>239.86801066948101</v>
      </c>
      <c r="G204" s="3">
        <f>E204/F204</f>
        <v>1.1339569592495362</v>
      </c>
      <c r="H204" s="4">
        <f>E204/D204</f>
        <v>24.727272727272727</v>
      </c>
    </row>
    <row r="205" spans="2:8" x14ac:dyDescent="0.25">
      <c r="B205" t="str">
        <v>Harvey Barnes</v>
      </c>
      <c r="C205" s="3">
        <f>AVERAGEIF(Sheet1!$H:$H,Planilha1!B205,Sheet1!X:X)</f>
        <v>1.4253638880954751</v>
      </c>
      <c r="D205">
        <f>COUNTIF(Sheet1!H:H,Planilha1!B205)</f>
        <v>1</v>
      </c>
      <c r="E205" s="3">
        <f>SUMIF(Sheet1!$H:$H,Planilha1!$B205,Sheet1!C:C)</f>
        <v>13</v>
      </c>
      <c r="F205" s="3">
        <f>SUMIF(Sheet1!$H:$H,Planilha1!$B205,Sheet1!O:O)</f>
        <v>9.1204780116677284</v>
      </c>
      <c r="G205" s="3">
        <f>E205/F205</f>
        <v>1.4253638880954749</v>
      </c>
      <c r="H205" s="4">
        <f>E205/D205</f>
        <v>13</v>
      </c>
    </row>
    <row r="206" spans="2:8" x14ac:dyDescent="0.25">
      <c r="B206" t="str">
        <v>Hatem Ben Arfa</v>
      </c>
      <c r="C206" s="3">
        <f>AVERAGEIF(Sheet1!$H:$H,Planilha1!B206,Sheet1!X:X)</f>
        <v>1.5707355823645861</v>
      </c>
      <c r="D206">
        <f>COUNTIF(Sheet1!H:H,Planilha1!B206)</f>
        <v>1</v>
      </c>
      <c r="E206" s="3">
        <f>SUMIF(Sheet1!$H:$H,Planilha1!$B206,Sheet1!C:C)</f>
        <v>17</v>
      </c>
      <c r="F206" s="3">
        <f>SUMIF(Sheet1!$H:$H,Planilha1!$B206,Sheet1!O:O)</f>
        <v>10.822954665869471</v>
      </c>
      <c r="G206" s="3">
        <f>E206/F206</f>
        <v>1.5707355823645863</v>
      </c>
      <c r="H206" s="4">
        <f>E206/D206</f>
        <v>17</v>
      </c>
    </row>
    <row r="207" spans="2:8" x14ac:dyDescent="0.25">
      <c r="B207" t="str">
        <v>Hee-Chan Hwang</v>
      </c>
      <c r="C207" s="3">
        <f>AVERAGEIF(Sheet1!$H:$H,Planilha1!B207,Sheet1!X:X)</f>
        <v>1.3821904611079581</v>
      </c>
      <c r="D207">
        <f>COUNTIF(Sheet1!H:H,Planilha1!B207)</f>
        <v>1</v>
      </c>
      <c r="E207" s="3">
        <f>SUMIF(Sheet1!$H:$H,Planilha1!$B207,Sheet1!C:C)</f>
        <v>12</v>
      </c>
      <c r="F207" s="3">
        <f>SUMIF(Sheet1!$H:$H,Planilha1!$B207,Sheet1!O:O)</f>
        <v>8.6818715203553438</v>
      </c>
      <c r="G207" s="3">
        <f>E207/F207</f>
        <v>1.3821904611079578</v>
      </c>
      <c r="H207" s="4">
        <f>E207/D207</f>
        <v>12</v>
      </c>
    </row>
    <row r="208" spans="2:8" x14ac:dyDescent="0.25">
      <c r="B208" t="str">
        <v>Henrikh Mkhitaryan</v>
      </c>
      <c r="C208" s="3">
        <f>AVERAGEIF(Sheet1!$H:$H,Planilha1!B208,Sheet1!X:X)</f>
        <v>1.0019606770636575</v>
      </c>
      <c r="D208">
        <f>COUNTIF(Sheet1!H:H,Planilha1!B208)</f>
        <v>2</v>
      </c>
      <c r="E208" s="3">
        <f>SUMIF(Sheet1!$H:$H,Planilha1!$B208,Sheet1!C:C)</f>
        <v>24</v>
      </c>
      <c r="F208" s="3">
        <f>SUMIF(Sheet1!$H:$H,Planilha1!$B208,Sheet1!O:O)</f>
        <v>23.911622442305081</v>
      </c>
      <c r="G208" s="3">
        <f>E208/F208</f>
        <v>1.0036960084121502</v>
      </c>
      <c r="H208" s="4">
        <f>E208/D208</f>
        <v>12</v>
      </c>
    </row>
    <row r="209" spans="2:8" x14ac:dyDescent="0.25">
      <c r="B209" t="str">
        <v>Hirving Lozano</v>
      </c>
      <c r="C209" s="3">
        <f>AVERAGEIF(Sheet1!$H:$H,Planilha1!B209,Sheet1!X:X)</f>
        <v>0.99558363197804822</v>
      </c>
      <c r="D209">
        <f>COUNTIF(Sheet1!H:H,Planilha1!B209)</f>
        <v>1</v>
      </c>
      <c r="E209" s="3">
        <f>SUMIF(Sheet1!$H:$H,Planilha1!$B209,Sheet1!C:C)</f>
        <v>11</v>
      </c>
      <c r="F209" s="3">
        <f>SUMIF(Sheet1!$H:$H,Planilha1!$B209,Sheet1!O:O)</f>
        <v>11.04879554733634</v>
      </c>
      <c r="G209" s="3">
        <f>E209/F209</f>
        <v>0.99558363197804822</v>
      </c>
      <c r="H209" s="4">
        <f>E209/D209</f>
        <v>11</v>
      </c>
    </row>
    <row r="210" spans="2:8" x14ac:dyDescent="0.25">
      <c r="B210" t="str">
        <v>Hugo Duro</v>
      </c>
      <c r="C210" s="3">
        <f>AVERAGEIF(Sheet1!$H:$H,Planilha1!B210,Sheet1!X:X)</f>
        <v>1.0710658236408266</v>
      </c>
      <c r="D210">
        <f>COUNTIF(Sheet1!H:H,Planilha1!B210)</f>
        <v>2</v>
      </c>
      <c r="E210" s="3">
        <f>SUMIF(Sheet1!$H:$H,Planilha1!$B210,Sheet1!C:C)</f>
        <v>24</v>
      </c>
      <c r="F210" s="3">
        <f>SUMIF(Sheet1!$H:$H,Planilha1!$B210,Sheet1!O:O)</f>
        <v>22.379440225660801</v>
      </c>
      <c r="G210" s="3">
        <f>E210/F210</f>
        <v>1.0724128824491788</v>
      </c>
      <c r="H210" s="4">
        <f>E210/D210</f>
        <v>12</v>
      </c>
    </row>
    <row r="211" spans="2:8" x14ac:dyDescent="0.25">
      <c r="B211" t="str">
        <v>Hugo Ekitike</v>
      </c>
      <c r="C211" s="3">
        <f>AVERAGEIF(Sheet1!$H:$H,Planilha1!B211,Sheet1!X:X)</f>
        <v>0.93433030899557756</v>
      </c>
      <c r="D211">
        <f>COUNTIF(Sheet1!H:H,Planilha1!B211)</f>
        <v>2</v>
      </c>
      <c r="E211" s="3">
        <f>SUMIF(Sheet1!$H:$H,Planilha1!$B211,Sheet1!C:C)</f>
        <v>25</v>
      </c>
      <c r="F211" s="3">
        <f>SUMIF(Sheet1!$H:$H,Planilha1!$B211,Sheet1!O:O)</f>
        <v>31.293802421540018</v>
      </c>
      <c r="G211" s="3">
        <f>E211/F211</f>
        <v>0.79888022756838606</v>
      </c>
      <c r="H211" s="4">
        <f>E211/D211</f>
        <v>12.5</v>
      </c>
    </row>
    <row r="212" spans="2:8" x14ac:dyDescent="0.25">
      <c r="B212" t="str">
        <v>Hulk</v>
      </c>
      <c r="C212" s="3">
        <f>AVERAGEIF(Sheet1!$H:$H,Planilha1!B212,Sheet1!X:X)</f>
        <v>1.2412296584827884</v>
      </c>
      <c r="D212">
        <f>COUNTIF(Sheet1!H:H,Planilha1!B212)</f>
        <v>2</v>
      </c>
      <c r="E212" s="3">
        <f>SUMIF(Sheet1!$H:$H,Planilha1!$B212,Sheet1!C:C)</f>
        <v>32</v>
      </c>
      <c r="F212" s="3">
        <f>SUMIF(Sheet1!$H:$H,Planilha1!$B212,Sheet1!O:O)</f>
        <v>25.973258562386039</v>
      </c>
      <c r="G212" s="3">
        <f>E212/F212</f>
        <v>1.232036400944384</v>
      </c>
      <c r="H212" s="4">
        <f>E212/D212</f>
        <v>16</v>
      </c>
    </row>
    <row r="213" spans="2:8" x14ac:dyDescent="0.25">
      <c r="B213" t="str">
        <v>Hwang Ui-Jo</v>
      </c>
      <c r="C213" s="3">
        <f>AVERAGEIF(Sheet1!$H:$H,Planilha1!B213,Sheet1!X:X)</f>
        <v>1.0984515943105349</v>
      </c>
      <c r="D213">
        <f>COUNTIF(Sheet1!H:H,Planilha1!B213)</f>
        <v>2</v>
      </c>
      <c r="E213" s="3">
        <f>SUMIF(Sheet1!$H:$H,Planilha1!$B213,Sheet1!C:C)</f>
        <v>23</v>
      </c>
      <c r="F213" s="3">
        <f>SUMIF(Sheet1!$H:$H,Planilha1!$B213,Sheet1!O:O)</f>
        <v>22.122370345517997</v>
      </c>
      <c r="G213" s="3">
        <f>E213/F213</f>
        <v>1.0396715921836022</v>
      </c>
      <c r="H213" s="4">
        <f>E213/D213</f>
        <v>11.5</v>
      </c>
    </row>
    <row r="214" spans="2:8" x14ac:dyDescent="0.25">
      <c r="B214" t="str">
        <v>Iago Aspas</v>
      </c>
      <c r="C214" s="3">
        <f>AVERAGEIF(Sheet1!$H:$H,Planilha1!B214,Sheet1!X:X)</f>
        <v>1.2018472093728174</v>
      </c>
      <c r="D214">
        <f>COUNTIF(Sheet1!H:H,Planilha1!B214)</f>
        <v>9</v>
      </c>
      <c r="E214" s="3">
        <f>SUMIF(Sheet1!$H:$H,Planilha1!$B214,Sheet1!C:C)</f>
        <v>142</v>
      </c>
      <c r="F214" s="3">
        <f>SUMIF(Sheet1!$H:$H,Planilha1!$B214,Sheet1!O:O)</f>
        <v>118.41633054800332</v>
      </c>
      <c r="G214" s="3">
        <f>E214/F214</f>
        <v>1.1991589280199524</v>
      </c>
      <c r="H214" s="4">
        <f>E214/D214</f>
        <v>15.777777777777779</v>
      </c>
    </row>
    <row r="215" spans="2:8" x14ac:dyDescent="0.25">
      <c r="B215" t="str">
        <v>Iago Falque</v>
      </c>
      <c r="C215" s="3">
        <f>AVERAGEIF(Sheet1!$H:$H,Planilha1!B215,Sheet1!X:X)</f>
        <v>1.3989809011765793</v>
      </c>
      <c r="D215">
        <f>COUNTIF(Sheet1!H:H,Planilha1!B215)</f>
        <v>3</v>
      </c>
      <c r="E215" s="3">
        <f>SUMIF(Sheet1!$H:$H,Planilha1!$B215,Sheet1!C:C)</f>
        <v>37</v>
      </c>
      <c r="F215" s="3">
        <f>SUMIF(Sheet1!$H:$H,Planilha1!$B215,Sheet1!O:O)</f>
        <v>26.449700896628201</v>
      </c>
      <c r="G215" s="3">
        <f>E215/F215</f>
        <v>1.3988816034103715</v>
      </c>
      <c r="H215" s="4">
        <f>E215/D215</f>
        <v>12.333333333333334</v>
      </c>
    </row>
    <row r="216" spans="2:8" x14ac:dyDescent="0.25">
      <c r="B216" t="str">
        <v>Iaroslav Gladyshev</v>
      </c>
      <c r="C216" s="3">
        <f>AVERAGEIF(Sheet1!$H:$H,Planilha1!B216,Sheet1!X:X)</f>
        <v>1.485357186863377</v>
      </c>
      <c r="D216">
        <f>COUNTIF(Sheet1!H:H,Planilha1!B216)</f>
        <v>1</v>
      </c>
      <c r="E216" s="3">
        <f>SUMIF(Sheet1!$H:$H,Planilha1!$B216,Sheet1!C:C)</f>
        <v>10</v>
      </c>
      <c r="F216" s="3">
        <f>SUMIF(Sheet1!$H:$H,Planilha1!$B216,Sheet1!O:O)</f>
        <v>6.7323873937129974</v>
      </c>
      <c r="G216" s="3">
        <f>E216/F216</f>
        <v>1.485357186863377</v>
      </c>
      <c r="H216" s="4">
        <f>E216/D216</f>
        <v>10</v>
      </c>
    </row>
    <row r="217" spans="2:8" x14ac:dyDescent="0.25">
      <c r="B217" t="str">
        <v>Igor Portnyagin</v>
      </c>
      <c r="C217" s="3">
        <f>AVERAGEIF(Sheet1!$H:$H,Planilha1!B217,Sheet1!X:X)</f>
        <v>0.88397551127889451</v>
      </c>
      <c r="D217">
        <f>COUNTIF(Sheet1!H:H,Planilha1!B217)</f>
        <v>1</v>
      </c>
      <c r="E217" s="3">
        <f>SUMIF(Sheet1!$H:$H,Planilha1!$B217,Sheet1!C:C)</f>
        <v>10</v>
      </c>
      <c r="F217" s="3">
        <f>SUMIF(Sheet1!$H:$H,Planilha1!$B217,Sheet1!O:O)</f>
        <v>11.312530576251451</v>
      </c>
      <c r="G217" s="3">
        <f>E217/F217</f>
        <v>0.88397551127889418</v>
      </c>
      <c r="H217" s="4">
        <f>E217/D217</f>
        <v>10</v>
      </c>
    </row>
    <row r="218" spans="2:8" x14ac:dyDescent="0.25">
      <c r="B218" t="str">
        <v>Ilija Nestorovski</v>
      </c>
      <c r="C218" s="3">
        <f>AVERAGEIF(Sheet1!$H:$H,Planilha1!B218,Sheet1!X:X)</f>
        <v>1.367259783153856</v>
      </c>
      <c r="D218">
        <f>COUNTIF(Sheet1!H:H,Planilha1!B218)</f>
        <v>1</v>
      </c>
      <c r="E218" s="3">
        <f>SUMIF(Sheet1!$H:$H,Planilha1!$B218,Sheet1!C:C)</f>
        <v>11</v>
      </c>
      <c r="F218" s="3">
        <f>SUMIF(Sheet1!$H:$H,Planilha1!$B218,Sheet1!O:O)</f>
        <v>8.0452889315783978</v>
      </c>
      <c r="G218" s="3">
        <f>E218/F218</f>
        <v>1.3672597831538562</v>
      </c>
      <c r="H218" s="4">
        <f>E218/D218</f>
        <v>11</v>
      </c>
    </row>
    <row r="219" spans="2:8" x14ac:dyDescent="0.25">
      <c r="B219" t="str">
        <v>Imanol Agirretxe</v>
      </c>
      <c r="C219" s="3">
        <f>AVERAGEIF(Sheet1!$H:$H,Planilha1!B219,Sheet1!X:X)</f>
        <v>1.318985145161196</v>
      </c>
      <c r="D219">
        <f>COUNTIF(Sheet1!H:H,Planilha1!B219)</f>
        <v>1</v>
      </c>
      <c r="E219" s="3">
        <f>SUMIF(Sheet1!$H:$H,Planilha1!$B219,Sheet1!C:C)</f>
        <v>13</v>
      </c>
      <c r="F219" s="3">
        <f>SUMIF(Sheet1!$H:$H,Planilha1!$B219,Sheet1!O:O)</f>
        <v>9.8560624793171883</v>
      </c>
      <c r="G219" s="3">
        <f>E219/F219</f>
        <v>1.318985145161196</v>
      </c>
      <c r="H219" s="4">
        <f>E219/D219</f>
        <v>13</v>
      </c>
    </row>
    <row r="220" spans="2:8" x14ac:dyDescent="0.25">
      <c r="B220" t="str">
        <v>Iñaki Williams</v>
      </c>
      <c r="C220" s="3">
        <f>AVERAGEIF(Sheet1!$H:$H,Planilha1!B220,Sheet1!X:X)</f>
        <v>0.96891306731341087</v>
      </c>
      <c r="D220">
        <f>COUNTIF(Sheet1!H:H,Planilha1!B220)</f>
        <v>3</v>
      </c>
      <c r="E220" s="3">
        <f>SUMIF(Sheet1!$H:$H,Planilha1!$B220,Sheet1!C:C)</f>
        <v>35</v>
      </c>
      <c r="F220" s="3">
        <f>SUMIF(Sheet1!$H:$H,Planilha1!$B220,Sheet1!O:O)</f>
        <v>36.104919578880072</v>
      </c>
      <c r="G220" s="3">
        <f>E220/F220</f>
        <v>0.96939697991942331</v>
      </c>
      <c r="H220" s="4">
        <f>E220/D220</f>
        <v>11.666666666666666</v>
      </c>
    </row>
    <row r="221" spans="2:8" x14ac:dyDescent="0.25">
      <c r="B221" t="str">
        <v>Isco</v>
      </c>
      <c r="C221" s="3">
        <f>AVERAGEIF(Sheet1!$H:$H,Planilha1!B221,Sheet1!X:X)</f>
        <v>2.2253596736073948</v>
      </c>
      <c r="D221">
        <f>COUNTIF(Sheet1!H:H,Planilha1!B221)</f>
        <v>1</v>
      </c>
      <c r="E221" s="3">
        <f>SUMIF(Sheet1!$H:$H,Planilha1!$B221,Sheet1!C:C)</f>
        <v>10</v>
      </c>
      <c r="F221" s="3">
        <f>SUMIF(Sheet1!$H:$H,Planilha1!$B221,Sheet1!O:O)</f>
        <v>4.4936556182801723</v>
      </c>
      <c r="G221" s="3">
        <f>E221/F221</f>
        <v>2.2253596736073948</v>
      </c>
      <c r="H221" s="4">
        <f>E221/D221</f>
        <v>10</v>
      </c>
    </row>
    <row r="222" spans="2:8" x14ac:dyDescent="0.25">
      <c r="B222" t="str">
        <v>Ishak Belfodil</v>
      </c>
      <c r="C222" s="3">
        <f>AVERAGEIF(Sheet1!$H:$H,Planilha1!B222,Sheet1!X:X)</f>
        <v>1.303640914348259</v>
      </c>
      <c r="D222">
        <f>COUNTIF(Sheet1!H:H,Planilha1!B222)</f>
        <v>1</v>
      </c>
      <c r="E222" s="3">
        <f>SUMIF(Sheet1!$H:$H,Planilha1!$B222,Sheet1!C:C)</f>
        <v>16</v>
      </c>
      <c r="F222" s="3">
        <f>SUMIF(Sheet1!$H:$H,Planilha1!$B222,Sheet1!O:O)</f>
        <v>12.27331838384271</v>
      </c>
      <c r="G222" s="3">
        <f>E222/F222</f>
        <v>1.3036409143482584</v>
      </c>
      <c r="H222" s="4">
        <f>E222/D222</f>
        <v>16</v>
      </c>
    </row>
    <row r="223" spans="2:8" x14ac:dyDescent="0.25">
      <c r="B223" t="str">
        <v>Ivan Perisic</v>
      </c>
      <c r="C223" s="3">
        <f>AVERAGEIF(Sheet1!$H:$H,Planilha1!B223,Sheet1!X:X)</f>
        <v>1.078093224559024</v>
      </c>
      <c r="D223">
        <f>COUNTIF(Sheet1!H:H,Planilha1!B223)</f>
        <v>1</v>
      </c>
      <c r="E223" s="3">
        <f>SUMIF(Sheet1!$H:$H,Planilha1!$B223,Sheet1!C:C)</f>
        <v>11</v>
      </c>
      <c r="F223" s="3">
        <f>SUMIF(Sheet1!$H:$H,Planilha1!$B223,Sheet1!O:O)</f>
        <v>10.203199268318709</v>
      </c>
      <c r="G223" s="3">
        <f>E223/F223</f>
        <v>1.0780932245590249</v>
      </c>
      <c r="H223" s="4">
        <f>E223/D223</f>
        <v>11</v>
      </c>
    </row>
    <row r="224" spans="2:8" x14ac:dyDescent="0.25">
      <c r="B224" t="str">
        <v>Ivan Santini</v>
      </c>
      <c r="C224" s="3">
        <f>AVERAGEIF(Sheet1!$H:$H,Planilha1!B224,Sheet1!X:X)</f>
        <v>0.97232319619952601</v>
      </c>
      <c r="D224">
        <f>COUNTIF(Sheet1!H:H,Planilha1!B224)</f>
        <v>2</v>
      </c>
      <c r="E224" s="3">
        <f>SUMIF(Sheet1!$H:$H,Planilha1!$B224,Sheet1!C:C)</f>
        <v>26</v>
      </c>
      <c r="F224" s="3">
        <f>SUMIF(Sheet1!$H:$H,Planilha1!$B224,Sheet1!O:O)</f>
        <v>27.09905848372728</v>
      </c>
      <c r="G224" s="3">
        <f>E224/F224</f>
        <v>0.9594429273479278</v>
      </c>
      <c r="H224" s="4">
        <f>E224/D224</f>
        <v>13</v>
      </c>
    </row>
    <row r="225" spans="2:8" x14ac:dyDescent="0.25">
      <c r="B225" t="str">
        <v>Ivan Sergeev</v>
      </c>
      <c r="C225" s="3">
        <f>AVERAGEIF(Sheet1!$H:$H,Planilha1!B225,Sheet1!X:X)</f>
        <v>1.0433166630457025</v>
      </c>
      <c r="D225">
        <f>COUNTIF(Sheet1!H:H,Planilha1!B225)</f>
        <v>2</v>
      </c>
      <c r="E225" s="3">
        <f>SUMIF(Sheet1!$H:$H,Planilha1!$B225,Sheet1!C:C)</f>
        <v>20</v>
      </c>
      <c r="F225" s="3">
        <f>SUMIF(Sheet1!$H:$H,Planilha1!$B225,Sheet1!O:O)</f>
        <v>19.316848197951913</v>
      </c>
      <c r="G225" s="3">
        <f>E225/F225</f>
        <v>1.0353655935506352</v>
      </c>
      <c r="H225" s="4">
        <f>E225/D225</f>
        <v>10</v>
      </c>
    </row>
    <row r="226" spans="2:8" x14ac:dyDescent="0.25">
      <c r="B226" t="str">
        <v>Ivan Toney</v>
      </c>
      <c r="C226" s="3">
        <f>AVERAGEIF(Sheet1!$H:$H,Planilha1!B226,Sheet1!X:X)</f>
        <v>0.95900025452441962</v>
      </c>
      <c r="D226">
        <f>COUNTIF(Sheet1!H:H,Planilha1!B226)</f>
        <v>2</v>
      </c>
      <c r="E226" s="3">
        <f>SUMIF(Sheet1!$H:$H,Planilha1!$B226,Sheet1!C:C)</f>
        <v>32</v>
      </c>
      <c r="F226" s="3">
        <f>SUMIF(Sheet1!$H:$H,Planilha1!$B226,Sheet1!O:O)</f>
        <v>33.739783402532339</v>
      </c>
      <c r="G226" s="3">
        <f>E226/F226</f>
        <v>0.94843525277634833</v>
      </c>
      <c r="H226" s="4">
        <f>E226/D226</f>
        <v>16</v>
      </c>
    </row>
    <row r="227" spans="2:8" x14ac:dyDescent="0.25">
      <c r="B227" t="str">
        <v>Jadon Sancho</v>
      </c>
      <c r="C227" s="3">
        <f>AVERAGEIF(Sheet1!$H:$H,Planilha1!B227,Sheet1!X:X)</f>
        <v>1.5810490104393999</v>
      </c>
      <c r="D227">
        <f>COUNTIF(Sheet1!H:H,Planilha1!B227)</f>
        <v>1</v>
      </c>
      <c r="E227" s="3">
        <f>SUMIF(Sheet1!$H:$H,Planilha1!$B227,Sheet1!C:C)</f>
        <v>17</v>
      </c>
      <c r="F227" s="3">
        <f>SUMIF(Sheet1!$H:$H,Planilha1!$B227,Sheet1!O:O)</f>
        <v>10.752354852855211</v>
      </c>
      <c r="G227" s="3">
        <f>E227/F227</f>
        <v>1.5810490104393988</v>
      </c>
      <c r="H227" s="4">
        <f>E227/D227</f>
        <v>17</v>
      </c>
    </row>
    <row r="228" spans="2:8" x14ac:dyDescent="0.25">
      <c r="B228" t="str">
        <v>Jaime Mata</v>
      </c>
      <c r="C228" s="3">
        <f>AVERAGEIF(Sheet1!$H:$H,Planilha1!B228,Sheet1!X:X)</f>
        <v>1.0398165301267774</v>
      </c>
      <c r="D228">
        <f>COUNTIF(Sheet1!H:H,Planilha1!B228)</f>
        <v>2</v>
      </c>
      <c r="E228" s="3">
        <f>SUMIF(Sheet1!$H:$H,Planilha1!$B228,Sheet1!C:C)</f>
        <v>25</v>
      </c>
      <c r="F228" s="3">
        <f>SUMIF(Sheet1!$H:$H,Planilha1!$B228,Sheet1!O:O)</f>
        <v>23.959421607665718</v>
      </c>
      <c r="G228" s="3">
        <f>E228/F228</f>
        <v>1.0434308644579864</v>
      </c>
      <c r="H228" s="4">
        <f>E228/D228</f>
        <v>12.5</v>
      </c>
    </row>
    <row r="229" spans="2:8" x14ac:dyDescent="0.25">
      <c r="B229" t="str">
        <v>James Maddison</v>
      </c>
      <c r="C229" s="3">
        <f>AVERAGEIF(Sheet1!$H:$H,Planilha1!B229,Sheet1!X:X)</f>
        <v>1.5125147729557331</v>
      </c>
      <c r="D229">
        <f>COUNTIF(Sheet1!H:H,Planilha1!B229)</f>
        <v>2</v>
      </c>
      <c r="E229" s="3">
        <f>SUMIF(Sheet1!$H:$H,Planilha1!$B229,Sheet1!C:C)</f>
        <v>22</v>
      </c>
      <c r="F229" s="3">
        <f>SUMIF(Sheet1!$H:$H,Planilha1!$B229,Sheet1!O:O)</f>
        <v>14.986099073663354</v>
      </c>
      <c r="G229" s="3">
        <f>E229/F229</f>
        <v>1.4680271291321509</v>
      </c>
      <c r="H229" s="4">
        <f>E229/D229</f>
        <v>11</v>
      </c>
    </row>
    <row r="230" spans="2:8" x14ac:dyDescent="0.25">
      <c r="B230" t="str">
        <v>James Rodríguez</v>
      </c>
      <c r="C230" s="3">
        <f>AVERAGEIF(Sheet1!$H:$H,Planilha1!B230,Sheet1!X:X)</f>
        <v>2.355379841560564</v>
      </c>
      <c r="D230">
        <f>COUNTIF(Sheet1!H:H,Planilha1!B230)</f>
        <v>1</v>
      </c>
      <c r="E230" s="3">
        <f>SUMIF(Sheet1!$H:$H,Planilha1!$B230,Sheet1!C:C)</f>
        <v>13</v>
      </c>
      <c r="F230" s="3">
        <f>SUMIF(Sheet1!$H:$H,Planilha1!$B230,Sheet1!O:O)</f>
        <v>5.5192796383053064</v>
      </c>
      <c r="G230" s="3">
        <f>E230/F230</f>
        <v>2.355379841560564</v>
      </c>
      <c r="H230" s="4">
        <f>E230/D230</f>
        <v>13</v>
      </c>
    </row>
    <row r="231" spans="2:8" x14ac:dyDescent="0.25">
      <c r="B231" t="str">
        <v>Jamie Vardy</v>
      </c>
      <c r="C231" s="3">
        <f>AVERAGEIF(Sheet1!$H:$H,Planilha1!B231,Sheet1!X:X)</f>
        <v>1.1589768824749969</v>
      </c>
      <c r="D231">
        <f>COUNTIF(Sheet1!H:H,Planilha1!B231)</f>
        <v>7</v>
      </c>
      <c r="E231" s="3">
        <f>SUMIF(Sheet1!$H:$H,Planilha1!$B231,Sheet1!C:C)</f>
        <v>128</v>
      </c>
      <c r="F231" s="3">
        <f>SUMIF(Sheet1!$H:$H,Planilha1!$B231,Sheet1!O:O)</f>
        <v>115.30393425375223</v>
      </c>
      <c r="G231" s="3">
        <f>E231/F231</f>
        <v>1.1101095624222781</v>
      </c>
      <c r="H231" s="4">
        <f>E231/D231</f>
        <v>18.285714285714285</v>
      </c>
    </row>
    <row r="232" spans="2:8" x14ac:dyDescent="0.25">
      <c r="B232" t="str">
        <v>Jarrod Bowen</v>
      </c>
      <c r="C232" s="3">
        <f>AVERAGEIF(Sheet1!$H:$H,Planilha1!B232,Sheet1!X:X)</f>
        <v>1.1459248052626101</v>
      </c>
      <c r="D232">
        <f>COUNTIF(Sheet1!H:H,Planilha1!B232)</f>
        <v>3</v>
      </c>
      <c r="E232" s="3">
        <f>SUMIF(Sheet1!$H:$H,Planilha1!$B232,Sheet1!C:C)</f>
        <v>41</v>
      </c>
      <c r="F232" s="3">
        <f>SUMIF(Sheet1!$H:$H,Planilha1!$B232,Sheet1!O:O)</f>
        <v>36.244170473888516</v>
      </c>
      <c r="G232" s="3">
        <f>E232/F232</f>
        <v>1.1312163987733623</v>
      </c>
      <c r="H232" s="4">
        <f>E232/D232</f>
        <v>13.666666666666666</v>
      </c>
    </row>
    <row r="233" spans="2:8" x14ac:dyDescent="0.25">
      <c r="B233" t="str">
        <v>Javi Guerra</v>
      </c>
      <c r="C233" s="3">
        <f>AVERAGEIF(Sheet1!$H:$H,Planilha1!B233,Sheet1!X:X)</f>
        <v>1.0507702600500259</v>
      </c>
      <c r="D233">
        <f>COUNTIF(Sheet1!H:H,Planilha1!B233)</f>
        <v>1</v>
      </c>
      <c r="E233" s="3">
        <f>SUMIF(Sheet1!$H:$H,Planilha1!$B233,Sheet1!C:C)</f>
        <v>12</v>
      </c>
      <c r="F233" s="3">
        <f>SUMIF(Sheet1!$H:$H,Planilha1!$B233,Sheet1!O:O)</f>
        <v>11.42019379138946</v>
      </c>
      <c r="G233" s="3">
        <f>E233/F233</f>
        <v>1.0507702600500264</v>
      </c>
      <c r="H233" s="4">
        <f>E233/D233</f>
        <v>12</v>
      </c>
    </row>
    <row r="234" spans="2:8" x14ac:dyDescent="0.25">
      <c r="B234" t="str">
        <v>Javi Puado</v>
      </c>
      <c r="C234" s="3">
        <f>AVERAGEIF(Sheet1!$H:$H,Planilha1!B234,Sheet1!X:X)</f>
        <v>1.0045347655546739</v>
      </c>
      <c r="D234">
        <f>COUNTIF(Sheet1!H:H,Planilha1!B234)</f>
        <v>1</v>
      </c>
      <c r="E234" s="3">
        <f>SUMIF(Sheet1!$H:$H,Planilha1!$B234,Sheet1!C:C)</f>
        <v>12</v>
      </c>
      <c r="F234" s="3">
        <f>SUMIF(Sheet1!$H:$H,Planilha1!$B234,Sheet1!O:O)</f>
        <v>11.945828468538821</v>
      </c>
      <c r="G234" s="3">
        <f>E234/F234</f>
        <v>1.0045347655546744</v>
      </c>
      <c r="H234" s="4">
        <f>E234/D234</f>
        <v>12</v>
      </c>
    </row>
    <row r="235" spans="2:8" x14ac:dyDescent="0.25">
      <c r="B235" t="str">
        <v>Jean-Philippe Mateta</v>
      </c>
      <c r="C235" s="3">
        <f>AVERAGEIF(Sheet1!$H:$H,Planilha1!B235,Sheet1!X:X)</f>
        <v>1.0759527237309954</v>
      </c>
      <c r="D235">
        <f>COUNTIF(Sheet1!H:H,Planilha1!B235)</f>
        <v>3</v>
      </c>
      <c r="E235" s="3">
        <f>SUMIF(Sheet1!$H:$H,Planilha1!$B235,Sheet1!C:C)</f>
        <v>44</v>
      </c>
      <c r="F235" s="3">
        <f>SUMIF(Sheet1!$H:$H,Planilha1!$B235,Sheet1!O:O)</f>
        <v>41.561530092731118</v>
      </c>
      <c r="G235" s="3">
        <f>E235/F235</f>
        <v>1.0586713218167914</v>
      </c>
      <c r="H235" s="4">
        <f>E235/D235</f>
        <v>14.666666666666666</v>
      </c>
    </row>
    <row r="236" spans="2:8" x14ac:dyDescent="0.25">
      <c r="B236" t="str">
        <v>Jeremie Boga</v>
      </c>
      <c r="C236" s="3">
        <f>AVERAGEIF(Sheet1!$H:$H,Planilha1!B236,Sheet1!X:X)</f>
        <v>2.40836710636533</v>
      </c>
      <c r="D236">
        <f>COUNTIF(Sheet1!H:H,Planilha1!B236)</f>
        <v>1</v>
      </c>
      <c r="E236" s="3">
        <f>SUMIF(Sheet1!$H:$H,Planilha1!$B236,Sheet1!C:C)</f>
        <v>11</v>
      </c>
      <c r="F236" s="3">
        <f>SUMIF(Sheet1!$H:$H,Planilha1!$B236,Sheet1!O:O)</f>
        <v>4.567409997805953</v>
      </c>
      <c r="G236" s="3">
        <f>E236/F236</f>
        <v>2.4083671063653296</v>
      </c>
      <c r="H236" s="4">
        <f>E236/D236</f>
        <v>11</v>
      </c>
    </row>
    <row r="237" spans="2:8" x14ac:dyDescent="0.25">
      <c r="B237" t="str">
        <v>Jeremy Le Douaron</v>
      </c>
      <c r="C237" s="3">
        <f>AVERAGEIF(Sheet1!$H:$H,Planilha1!B237,Sheet1!X:X)</f>
        <v>1.2043250909353009</v>
      </c>
      <c r="D237">
        <f>COUNTIF(Sheet1!H:H,Planilha1!B237)</f>
        <v>1</v>
      </c>
      <c r="E237" s="3">
        <f>SUMIF(Sheet1!$H:$H,Planilha1!$B237,Sheet1!C:C)</f>
        <v>10</v>
      </c>
      <c r="F237" s="3">
        <f>SUMIF(Sheet1!$H:$H,Planilha1!$B237,Sheet1!O:O)</f>
        <v>8.3034058455377817</v>
      </c>
      <c r="G237" s="3">
        <f>E237/F237</f>
        <v>1.2043250909353012</v>
      </c>
      <c r="H237" s="4">
        <f>E237/D237</f>
        <v>10</v>
      </c>
    </row>
    <row r="238" spans="2:8" x14ac:dyDescent="0.25">
      <c r="B238" t="str">
        <v>Jérémy Menez</v>
      </c>
      <c r="C238" s="3">
        <f>AVERAGEIF(Sheet1!$H:$H,Planilha1!B238,Sheet1!X:X)</f>
        <v>1.462941867425658</v>
      </c>
      <c r="D238">
        <f>COUNTIF(Sheet1!H:H,Planilha1!B238)</f>
        <v>1</v>
      </c>
      <c r="E238" s="3">
        <f>SUMIF(Sheet1!$H:$H,Planilha1!$B238,Sheet1!C:C)</f>
        <v>16</v>
      </c>
      <c r="F238" s="3">
        <f>SUMIF(Sheet1!$H:$H,Planilha1!$B238,Sheet1!O:O)</f>
        <v>10.93686656747013</v>
      </c>
      <c r="G238" s="3">
        <f>E238/F238</f>
        <v>1.4629418674256582</v>
      </c>
      <c r="H238" s="4">
        <f>E238/D238</f>
        <v>16</v>
      </c>
    </row>
    <row r="239" spans="2:8" x14ac:dyDescent="0.25">
      <c r="B239" t="str">
        <v>Jermain Defoe</v>
      </c>
      <c r="C239" s="3">
        <f>AVERAGEIF(Sheet1!$H:$H,Planilha1!B239,Sheet1!X:X)</f>
        <v>1.1898830462400274</v>
      </c>
      <c r="D239">
        <f>COUNTIF(Sheet1!H:H,Planilha1!B239)</f>
        <v>2</v>
      </c>
      <c r="E239" s="3">
        <f>SUMIF(Sheet1!$H:$H,Planilha1!$B239,Sheet1!C:C)</f>
        <v>30</v>
      </c>
      <c r="F239" s="3">
        <f>SUMIF(Sheet1!$H:$H,Planilha1!$B239,Sheet1!O:O)</f>
        <v>25.36019703373314</v>
      </c>
      <c r="G239" s="3">
        <f>E239/F239</f>
        <v>1.1829561087437599</v>
      </c>
      <c r="H239" s="4">
        <f>E239/D239</f>
        <v>15</v>
      </c>
    </row>
    <row r="240" spans="2:8" x14ac:dyDescent="0.25">
      <c r="B240" t="str">
        <v>Jhon Córdoba</v>
      </c>
      <c r="C240" s="3">
        <f>AVERAGEIF(Sheet1!$H:$H,Planilha1!B240,Sheet1!X:X)</f>
        <v>1.1401246314767062</v>
      </c>
      <c r="D240">
        <f>COUNTIF(Sheet1!H:H,Planilha1!B240)</f>
        <v>4</v>
      </c>
      <c r="E240" s="3">
        <f>SUMIF(Sheet1!$H:$H,Planilha1!$B240,Sheet1!C:C)</f>
        <v>53</v>
      </c>
      <c r="F240" s="3">
        <f>SUMIF(Sheet1!$H:$H,Planilha1!$B240,Sheet1!O:O)</f>
        <v>49.557625927962363</v>
      </c>
      <c r="G240" s="3">
        <f>E240/F240</f>
        <v>1.0694620456000359</v>
      </c>
      <c r="H240" s="4">
        <f>E240/D240</f>
        <v>13.25</v>
      </c>
    </row>
    <row r="241" spans="2:8" x14ac:dyDescent="0.25">
      <c r="B241" t="str">
        <v>Jimmy Briand</v>
      </c>
      <c r="C241" s="3">
        <f>AVERAGEIF(Sheet1!$H:$H,Planilha1!B241,Sheet1!X:X)</f>
        <v>1.0204777240777418</v>
      </c>
      <c r="D241">
        <f>COUNTIF(Sheet1!H:H,Planilha1!B241)</f>
        <v>2</v>
      </c>
      <c r="E241" s="3">
        <f>SUMIF(Sheet1!$H:$H,Planilha1!$B241,Sheet1!C:C)</f>
        <v>23</v>
      </c>
      <c r="F241" s="3">
        <f>SUMIF(Sheet1!$H:$H,Planilha1!$B241,Sheet1!O:O)</f>
        <v>22.541838412173092</v>
      </c>
      <c r="G241" s="3">
        <f>E241/F241</f>
        <v>1.0203249433098363</v>
      </c>
      <c r="H241" s="4">
        <f>E241/D241</f>
        <v>11.5</v>
      </c>
    </row>
    <row r="242" spans="2:8" x14ac:dyDescent="0.25">
      <c r="B242" t="str">
        <v>João Pedro</v>
      </c>
      <c r="C242" s="3">
        <f>AVERAGEIF(Sheet1!$H:$H,Planilha1!B242,Sheet1!X:X)</f>
        <v>1.1654458686917151</v>
      </c>
      <c r="D242">
        <f>COUNTIF(Sheet1!H:H,Planilha1!B242)</f>
        <v>4</v>
      </c>
      <c r="E242" s="3">
        <f>SUMIF(Sheet1!$H:$H,Planilha1!$B242,Sheet1!C:C)</f>
        <v>57</v>
      </c>
      <c r="F242" s="3">
        <f>SUMIF(Sheet1!$H:$H,Planilha1!$B242,Sheet1!O:O)</f>
        <v>48.677565084770322</v>
      </c>
      <c r="G242" s="3">
        <f>E242/F242</f>
        <v>1.1709706494303165</v>
      </c>
      <c r="H242" s="4">
        <f>E242/D242</f>
        <v>14.25</v>
      </c>
    </row>
    <row r="243" spans="2:8" x14ac:dyDescent="0.25">
      <c r="B243" t="str">
        <v>Joaquín Larrivey</v>
      </c>
      <c r="C243" s="3">
        <f>AVERAGEIF(Sheet1!$H:$H,Planilha1!B243,Sheet1!X:X)</f>
        <v>0.85550775228222808</v>
      </c>
      <c r="D243">
        <f>COUNTIF(Sheet1!H:H,Planilha1!B243)</f>
        <v>1</v>
      </c>
      <c r="E243" s="3">
        <f>SUMIF(Sheet1!$H:$H,Planilha1!$B243,Sheet1!C:C)</f>
        <v>11</v>
      </c>
      <c r="F243" s="3">
        <f>SUMIF(Sheet1!$H:$H,Planilha1!$B243,Sheet1!O:O)</f>
        <v>12.85786127671599</v>
      </c>
      <c r="G243" s="3">
        <f>E243/F243</f>
        <v>0.85550775228222842</v>
      </c>
      <c r="H243" s="4">
        <f>E243/D243</f>
        <v>11</v>
      </c>
    </row>
    <row r="244" spans="2:8" x14ac:dyDescent="0.25">
      <c r="B244" t="str">
        <v>Jonas Wind</v>
      </c>
      <c r="C244" s="3">
        <f>AVERAGEIF(Sheet1!$H:$H,Planilha1!B244,Sheet1!X:X)</f>
        <v>0.97844066408109265</v>
      </c>
      <c r="D244">
        <f>COUNTIF(Sheet1!H:H,Planilha1!B244)</f>
        <v>1</v>
      </c>
      <c r="E244" s="3">
        <f>SUMIF(Sheet1!$H:$H,Planilha1!$B244,Sheet1!C:C)</f>
        <v>11</v>
      </c>
      <c r="F244" s="3">
        <f>SUMIF(Sheet1!$H:$H,Planilha1!$B244,Sheet1!O:O)</f>
        <v>11.24237820832059</v>
      </c>
      <c r="G244" s="3">
        <f>E244/F244</f>
        <v>0.97844066408109243</v>
      </c>
      <c r="H244" s="4">
        <f>E244/D244</f>
        <v>11</v>
      </c>
    </row>
    <row r="245" spans="2:8" x14ac:dyDescent="0.25">
      <c r="B245" t="str">
        <v>Jonathan Bamba</v>
      </c>
      <c r="C245" s="3">
        <f>AVERAGEIF(Sheet1!$H:$H,Planilha1!B245,Sheet1!X:X)</f>
        <v>1.5813963858290201</v>
      </c>
      <c r="D245">
        <f>COUNTIF(Sheet1!H:H,Planilha1!B245)</f>
        <v>1</v>
      </c>
      <c r="E245" s="3">
        <f>SUMIF(Sheet1!$H:$H,Planilha1!$B245,Sheet1!C:C)</f>
        <v>13</v>
      </c>
      <c r="F245" s="3">
        <f>SUMIF(Sheet1!$H:$H,Planilha1!$B245,Sheet1!O:O)</f>
        <v>8.2205828446894884</v>
      </c>
      <c r="G245" s="3">
        <f>E245/F245</f>
        <v>1.5813963858290199</v>
      </c>
      <c r="H245" s="4">
        <f>E245/D245</f>
        <v>13</v>
      </c>
    </row>
    <row r="246" spans="2:8" x14ac:dyDescent="0.25">
      <c r="B246" t="str">
        <v>Jonathan Burkardt</v>
      </c>
      <c r="C246" s="3">
        <f>AVERAGEIF(Sheet1!$H:$H,Planilha1!B246,Sheet1!X:X)</f>
        <v>0.98491826560715834</v>
      </c>
      <c r="D246">
        <f>COUNTIF(Sheet1!H:H,Planilha1!B246)</f>
        <v>2</v>
      </c>
      <c r="E246" s="3">
        <f>SUMIF(Sheet1!$H:$H,Planilha1!$B246,Sheet1!C:C)</f>
        <v>29</v>
      </c>
      <c r="F246" s="3">
        <f>SUMIF(Sheet1!$H:$H,Planilha1!$B246,Sheet1!O:O)</f>
        <v>29.096714267507199</v>
      </c>
      <c r="G246" s="3">
        <f>E246/F246</f>
        <v>0.99667611034641113</v>
      </c>
      <c r="H246" s="4">
        <f>E246/D246</f>
        <v>14.5</v>
      </c>
    </row>
    <row r="247" spans="2:8" x14ac:dyDescent="0.25">
      <c r="B247" t="str">
        <v>Jonathan Christian David</v>
      </c>
      <c r="C247" s="3">
        <f>AVERAGEIF(Sheet1!$H:$H,Planilha1!B247,Sheet1!X:X)</f>
        <v>1.003458439289874</v>
      </c>
      <c r="D247">
        <f>COUNTIF(Sheet1!H:H,Planilha1!B247)</f>
        <v>5</v>
      </c>
      <c r="E247" s="3">
        <f>SUMIF(Sheet1!$H:$H,Planilha1!$B247,Sheet1!C:C)</f>
        <v>87</v>
      </c>
      <c r="F247" s="3">
        <f>SUMIF(Sheet1!$H:$H,Planilha1!$B247,Sheet1!O:O)</f>
        <v>89.595529787242413</v>
      </c>
      <c r="G247" s="3">
        <f>E247/F247</f>
        <v>0.97103058831834721</v>
      </c>
      <c r="H247" s="4">
        <f>E247/D247</f>
        <v>17.399999999999999</v>
      </c>
    </row>
    <row r="248" spans="2:8" x14ac:dyDescent="0.25">
      <c r="B248" t="str">
        <v>Jonathan Viera</v>
      </c>
      <c r="C248" s="3">
        <f>AVERAGEIF(Sheet1!$H:$H,Planilha1!B248,Sheet1!X:X)</f>
        <v>1.0370167924693661</v>
      </c>
      <c r="D248">
        <f>COUNTIF(Sheet1!H:H,Planilha1!B248)</f>
        <v>1</v>
      </c>
      <c r="E248" s="3">
        <f>SUMIF(Sheet1!$H:$H,Planilha1!$B248,Sheet1!C:C)</f>
        <v>10</v>
      </c>
      <c r="F248" s="3">
        <f>SUMIF(Sheet1!$H:$H,Planilha1!$B248,Sheet1!O:O)</f>
        <v>9.6430453900247795</v>
      </c>
      <c r="G248" s="3">
        <f>E248/F248</f>
        <v>1.0370167924693656</v>
      </c>
      <c r="H248" s="4">
        <f>E248/D248</f>
        <v>10</v>
      </c>
    </row>
    <row r="249" spans="2:8" x14ac:dyDescent="0.25">
      <c r="B249" t="str">
        <v>Jonathas</v>
      </c>
      <c r="C249" s="3">
        <f>AVERAGEIF(Sheet1!$H:$H,Planilha1!B249,Sheet1!X:X)</f>
        <v>1.3018617299532771</v>
      </c>
      <c r="D249">
        <f>COUNTIF(Sheet1!H:H,Planilha1!B249)</f>
        <v>1</v>
      </c>
      <c r="E249" s="3">
        <f>SUMIF(Sheet1!$H:$H,Planilha1!$B249,Sheet1!C:C)</f>
        <v>14</v>
      </c>
      <c r="F249" s="3">
        <f>SUMIF(Sheet1!$H:$H,Planilha1!$B249,Sheet1!O:O)</f>
        <v>10.75383020937443</v>
      </c>
      <c r="G249" s="3">
        <f>E249/F249</f>
        <v>1.3018617299532764</v>
      </c>
      <c r="H249" s="4">
        <f>E249/D249</f>
        <v>14</v>
      </c>
    </row>
    <row r="250" spans="2:8" x14ac:dyDescent="0.25">
      <c r="B250" t="str">
        <v>Jordan Ayew</v>
      </c>
      <c r="C250" s="3">
        <f>AVERAGEIF(Sheet1!$H:$H,Planilha1!B250,Sheet1!X:X)</f>
        <v>1.0108251664265631</v>
      </c>
      <c r="D250">
        <f>COUNTIF(Sheet1!H:H,Planilha1!B250)</f>
        <v>1</v>
      </c>
      <c r="E250" s="3">
        <f>SUMIF(Sheet1!$H:$H,Planilha1!$B250,Sheet1!C:C)</f>
        <v>12</v>
      </c>
      <c r="F250" s="3">
        <f>SUMIF(Sheet1!$H:$H,Planilha1!$B250,Sheet1!O:O)</f>
        <v>11.87148915417492</v>
      </c>
      <c r="G250" s="3">
        <f>E250/F250</f>
        <v>1.0108251664265628</v>
      </c>
      <c r="H250" s="4">
        <f>E250/D250</f>
        <v>12</v>
      </c>
    </row>
    <row r="251" spans="2:8" x14ac:dyDescent="0.25">
      <c r="B251" t="str">
        <v>Jordan Larsson</v>
      </c>
      <c r="C251" s="3">
        <f>AVERAGEIF(Sheet1!$H:$H,Planilha1!B251,Sheet1!X:X)</f>
        <v>1.2251857107529101</v>
      </c>
      <c r="D251">
        <f>COUNTIF(Sheet1!H:H,Planilha1!B251)</f>
        <v>1</v>
      </c>
      <c r="E251" s="3">
        <f>SUMIF(Sheet1!$H:$H,Planilha1!$B251,Sheet1!C:C)</f>
        <v>15</v>
      </c>
      <c r="F251" s="3">
        <f>SUMIF(Sheet1!$H:$H,Planilha1!$B251,Sheet1!O:O)</f>
        <v>12.24304190650582</v>
      </c>
      <c r="G251" s="3">
        <f>E251/F251</f>
        <v>1.2251857107529105</v>
      </c>
      <c r="H251" s="4">
        <f>E251/D251</f>
        <v>15</v>
      </c>
    </row>
    <row r="252" spans="2:8" x14ac:dyDescent="0.25">
      <c r="B252" t="str">
        <v>Jorge Molina</v>
      </c>
      <c r="C252" s="3">
        <f>AVERAGEIF(Sheet1!$H:$H,Planilha1!B252,Sheet1!X:X)</f>
        <v>1.2794563555371934</v>
      </c>
      <c r="D252">
        <f>COUNTIF(Sheet1!H:H,Planilha1!B252)</f>
        <v>2</v>
      </c>
      <c r="E252" s="3">
        <f>SUMIF(Sheet1!$H:$H,Planilha1!$B252,Sheet1!C:C)</f>
        <v>24</v>
      </c>
      <c r="F252" s="3">
        <f>SUMIF(Sheet1!$H:$H,Planilha1!$B252,Sheet1!O:O)</f>
        <v>18.924497803673148</v>
      </c>
      <c r="G252" s="3">
        <f>E252/F252</f>
        <v>1.2681974575484758</v>
      </c>
      <c r="H252" s="4">
        <f>E252/D252</f>
        <v>12</v>
      </c>
    </row>
    <row r="253" spans="2:8" x14ac:dyDescent="0.25">
      <c r="B253" t="str">
        <v>Jørgen Strand Larsen</v>
      </c>
      <c r="C253" s="3">
        <f>AVERAGEIF(Sheet1!$H:$H,Planilha1!B253,Sheet1!X:X)</f>
        <v>0.98869915417542842</v>
      </c>
      <c r="D253">
        <f>COUNTIF(Sheet1!H:H,Planilha1!B253)</f>
        <v>2</v>
      </c>
      <c r="E253" s="3">
        <f>SUMIF(Sheet1!$H:$H,Planilha1!$B253,Sheet1!C:C)</f>
        <v>27</v>
      </c>
      <c r="F253" s="3">
        <f>SUMIF(Sheet1!$H:$H,Planilha1!$B253,Sheet1!O:O)</f>
        <v>28.361456163227558</v>
      </c>
      <c r="G253" s="3">
        <f>E253/F253</f>
        <v>0.95199625310519942</v>
      </c>
      <c r="H253" s="4">
        <f>E253/D253</f>
        <v>13.5</v>
      </c>
    </row>
    <row r="254" spans="2:8" x14ac:dyDescent="0.25">
      <c r="B254" t="str">
        <v>José Callejón</v>
      </c>
      <c r="C254" s="3">
        <f>AVERAGEIF(Sheet1!$H:$H,Planilha1!B254,Sheet1!X:X)</f>
        <v>1.0552328055628029</v>
      </c>
      <c r="D254">
        <f>COUNTIF(Sheet1!H:H,Planilha1!B254)</f>
        <v>2</v>
      </c>
      <c r="E254" s="3">
        <f>SUMIF(Sheet1!$H:$H,Planilha1!$B254,Sheet1!C:C)</f>
        <v>24</v>
      </c>
      <c r="F254" s="3">
        <f>SUMIF(Sheet1!$H:$H,Planilha1!$B254,Sheet1!O:O)</f>
        <v>22.596835929900401</v>
      </c>
      <c r="G254" s="3">
        <f>E254/F254</f>
        <v>1.0620955993331311</v>
      </c>
      <c r="H254" s="4">
        <f>E254/D254</f>
        <v>12</v>
      </c>
    </row>
    <row r="255" spans="2:8" x14ac:dyDescent="0.25">
      <c r="B255" t="str">
        <v>Joselu</v>
      </c>
      <c r="C255" s="3">
        <f>AVERAGEIF(Sheet1!$H:$H,Planilha1!B255,Sheet1!X:X)</f>
        <v>0.92421806609518842</v>
      </c>
      <c r="D255">
        <f>COUNTIF(Sheet1!H:H,Planilha1!B255)</f>
        <v>5</v>
      </c>
      <c r="E255" s="3">
        <f>SUMIF(Sheet1!$H:$H,Planilha1!$B255,Sheet1!C:C)</f>
        <v>62</v>
      </c>
      <c r="F255" s="3">
        <f>SUMIF(Sheet1!$H:$H,Planilha1!$B255,Sheet1!O:O)</f>
        <v>66.870449969545007</v>
      </c>
      <c r="G255" s="3">
        <f>E255/F255</f>
        <v>0.92716588610121253</v>
      </c>
      <c r="H255" s="4">
        <f>E255/D255</f>
        <v>12.4</v>
      </c>
    </row>
    <row r="256" spans="2:8" x14ac:dyDescent="0.25">
      <c r="B256" t="str">
        <v>Joshua King</v>
      </c>
      <c r="C256" s="3">
        <f>AVERAGEIF(Sheet1!$H:$H,Planilha1!B256,Sheet1!X:X)</f>
        <v>1.1760684745319874</v>
      </c>
      <c r="D256">
        <f>COUNTIF(Sheet1!H:H,Planilha1!B256)</f>
        <v>2</v>
      </c>
      <c r="E256" s="3">
        <f>SUMIF(Sheet1!$H:$H,Planilha1!$B256,Sheet1!C:C)</f>
        <v>28</v>
      </c>
      <c r="F256" s="3">
        <f>SUMIF(Sheet1!$H:$H,Planilha1!$B256,Sheet1!O:O)</f>
        <v>24.458404013887048</v>
      </c>
      <c r="G256" s="3">
        <f>E256/F256</f>
        <v>1.1448007803003866</v>
      </c>
      <c r="H256" s="4">
        <f>E256/D256</f>
        <v>14</v>
      </c>
    </row>
    <row r="257" spans="2:8" x14ac:dyDescent="0.25">
      <c r="B257" t="str">
        <v>Joshua Zirkzee</v>
      </c>
      <c r="C257" s="3">
        <f>AVERAGEIF(Sheet1!$H:$H,Planilha1!B257,Sheet1!X:X)</f>
        <v>1.317704906748238</v>
      </c>
      <c r="D257">
        <f>COUNTIF(Sheet1!H:H,Planilha1!B257)</f>
        <v>1</v>
      </c>
      <c r="E257" s="3">
        <f>SUMIF(Sheet1!$H:$H,Planilha1!$B257,Sheet1!C:C)</f>
        <v>12</v>
      </c>
      <c r="F257" s="3">
        <f>SUMIF(Sheet1!$H:$H,Planilha1!$B257,Sheet1!O:O)</f>
        <v>9.106743048876524</v>
      </c>
      <c r="G257" s="3">
        <f>E257/F257</f>
        <v>1.3177049067482376</v>
      </c>
      <c r="H257" s="4">
        <f>E257/D257</f>
        <v>12</v>
      </c>
    </row>
    <row r="258" spans="2:8" x14ac:dyDescent="0.25">
      <c r="B258" t="str">
        <v>Josip Ilicic</v>
      </c>
      <c r="C258" s="3">
        <f>AVERAGEIF(Sheet1!$H:$H,Planilha1!B258,Sheet1!X:X)</f>
        <v>1.2773727205660423</v>
      </c>
      <c r="D258">
        <f>COUNTIF(Sheet1!H:H,Planilha1!B258)</f>
        <v>3</v>
      </c>
      <c r="E258" s="3">
        <f>SUMIF(Sheet1!$H:$H,Planilha1!$B258,Sheet1!C:C)</f>
        <v>38</v>
      </c>
      <c r="F258" s="3">
        <f>SUMIF(Sheet1!$H:$H,Planilha1!$B258,Sheet1!O:O)</f>
        <v>29.787752659991384</v>
      </c>
      <c r="G258" s="3">
        <f>E258/F258</f>
        <v>1.2756920749861964</v>
      </c>
      <c r="H258" s="4">
        <f>E258/D258</f>
        <v>12.666666666666666</v>
      </c>
    </row>
    <row r="259" spans="2:8" x14ac:dyDescent="0.25">
      <c r="B259" t="str">
        <v>Juan Manuel Boselli</v>
      </c>
      <c r="C259" s="3">
        <f>AVERAGEIF(Sheet1!$H:$H,Planilha1!B259,Sheet1!X:X)</f>
        <v>1.388499107730166</v>
      </c>
      <c r="D259">
        <f>COUNTIF(Sheet1!H:H,Planilha1!B259)</f>
        <v>1</v>
      </c>
      <c r="E259" s="3">
        <f>SUMIF(Sheet1!$H:$H,Planilha1!$B259,Sheet1!C:C)</f>
        <v>10</v>
      </c>
      <c r="F259" s="3">
        <f>SUMIF(Sheet1!$H:$H,Planilha1!$B259,Sheet1!O:O)</f>
        <v>7.2020211927592754</v>
      </c>
      <c r="G259" s="3">
        <f>E259/F259</f>
        <v>1.388499107730166</v>
      </c>
      <c r="H259" s="4">
        <f>E259/D259</f>
        <v>10</v>
      </c>
    </row>
    <row r="260" spans="2:8" x14ac:dyDescent="0.25">
      <c r="B260" t="str">
        <v>Juanmi</v>
      </c>
      <c r="C260" s="3">
        <f>AVERAGEIF(Sheet1!$H:$H,Planilha1!B260,Sheet1!X:X)</f>
        <v>1.588029980699601</v>
      </c>
      <c r="D260">
        <f>COUNTIF(Sheet1!H:H,Planilha1!B260)</f>
        <v>2</v>
      </c>
      <c r="E260" s="3">
        <f>SUMIF(Sheet1!$H:$H,Planilha1!$B260,Sheet1!C:C)</f>
        <v>28</v>
      </c>
      <c r="F260" s="3">
        <f>SUMIF(Sheet1!$H:$H,Planilha1!$B260,Sheet1!O:O)</f>
        <v>17.485109589993954</v>
      </c>
      <c r="G260" s="3">
        <f>E260/F260</f>
        <v>1.6013625682977308</v>
      </c>
      <c r="H260" s="4">
        <f>E260/D260</f>
        <v>14</v>
      </c>
    </row>
    <row r="261" spans="2:8" x14ac:dyDescent="0.25">
      <c r="B261" t="str">
        <v>Jude Bellingham</v>
      </c>
      <c r="C261" s="3">
        <f>AVERAGEIF(Sheet1!$H:$H,Planilha1!B261,Sheet1!X:X)</f>
        <v>1.4644091228857761</v>
      </c>
      <c r="D261">
        <f>COUNTIF(Sheet1!H:H,Planilha1!B261)</f>
        <v>1</v>
      </c>
      <c r="E261" s="3">
        <f>SUMIF(Sheet1!$H:$H,Planilha1!$B261,Sheet1!C:C)</f>
        <v>19</v>
      </c>
      <c r="F261" s="3">
        <f>SUMIF(Sheet1!$H:$H,Planilha1!$B261,Sheet1!O:O)</f>
        <v>12.974516276270149</v>
      </c>
      <c r="G261" s="3">
        <f>E261/F261</f>
        <v>1.4644091228857765</v>
      </c>
      <c r="H261" s="4">
        <f>E261/D261</f>
        <v>19</v>
      </c>
    </row>
    <row r="262" spans="2:8" x14ac:dyDescent="0.25">
      <c r="B262" t="str">
        <v>Julián Álvarez</v>
      </c>
      <c r="C262" s="3">
        <f>AVERAGEIF(Sheet1!$H:$H,Planilha1!B262,Sheet1!X:X)</f>
        <v>0.982959005354889</v>
      </c>
      <c r="D262">
        <f>COUNTIF(Sheet1!H:H,Planilha1!B262)</f>
        <v>2</v>
      </c>
      <c r="E262" s="3">
        <f>SUMIF(Sheet1!$H:$H,Planilha1!$B262,Sheet1!C:C)</f>
        <v>28</v>
      </c>
      <c r="F262" s="3">
        <f>SUMIF(Sheet1!$H:$H,Planilha1!$B262,Sheet1!O:O)</f>
        <v>28.532868518959731</v>
      </c>
      <c r="G262" s="3">
        <f>E262/F262</f>
        <v>0.98132439720858611</v>
      </c>
      <c r="H262" s="4">
        <f>E262/D262</f>
        <v>14</v>
      </c>
    </row>
    <row r="263" spans="2:8" x14ac:dyDescent="0.25">
      <c r="B263" t="str">
        <v>Júlio Tavares</v>
      </c>
      <c r="C263" s="3">
        <f>AVERAGEIF(Sheet1!$H:$H,Planilha1!B263,Sheet1!X:X)</f>
        <v>1.2543737784401869</v>
      </c>
      <c r="D263">
        <f>COUNTIF(Sheet1!H:H,Planilha1!B263)</f>
        <v>1</v>
      </c>
      <c r="E263" s="3">
        <f>SUMIF(Sheet1!$H:$H,Planilha1!$B263,Sheet1!C:C)</f>
        <v>12</v>
      </c>
      <c r="F263" s="3">
        <f>SUMIF(Sheet1!$H:$H,Planilha1!$B263,Sheet1!O:O)</f>
        <v>9.5665265060961246</v>
      </c>
      <c r="G263" s="3">
        <f>E263/F263</f>
        <v>1.2543737784401874</v>
      </c>
      <c r="H263" s="4">
        <f>E263/D263</f>
        <v>12</v>
      </c>
    </row>
    <row r="264" spans="2:8" x14ac:dyDescent="0.25">
      <c r="B264" t="str">
        <v>Kai Havertz</v>
      </c>
      <c r="C264" s="3">
        <f>AVERAGEIF(Sheet1!$H:$H,Planilha1!B264,Sheet1!X:X)</f>
        <v>1.1919025740001346</v>
      </c>
      <c r="D264">
        <f>COUNTIF(Sheet1!H:H,Planilha1!B264)</f>
        <v>3</v>
      </c>
      <c r="E264" s="3">
        <f>SUMIF(Sheet1!$H:$H,Planilha1!$B264,Sheet1!C:C)</f>
        <v>42</v>
      </c>
      <c r="F264" s="3">
        <f>SUMIF(Sheet1!$H:$H,Planilha1!$B264,Sheet1!O:O)</f>
        <v>35.519091955386102</v>
      </c>
      <c r="G264" s="3">
        <f>E264/F264</f>
        <v>1.1824626612852116</v>
      </c>
      <c r="H264" s="4">
        <f>E264/D264</f>
        <v>14</v>
      </c>
    </row>
    <row r="265" spans="2:8" x14ac:dyDescent="0.25">
      <c r="B265" t="str">
        <v>Kaoru Mitoma</v>
      </c>
      <c r="C265" s="3">
        <f>AVERAGEIF(Sheet1!$H:$H,Planilha1!B265,Sheet1!X:X)</f>
        <v>0.97821565128783383</v>
      </c>
      <c r="D265">
        <f>COUNTIF(Sheet1!H:H,Planilha1!B265)</f>
        <v>1</v>
      </c>
      <c r="E265" s="3">
        <f>SUMIF(Sheet1!$H:$H,Planilha1!$B265,Sheet1!C:C)</f>
        <v>10</v>
      </c>
      <c r="F265" s="3">
        <f>SUMIF(Sheet1!$H:$H,Planilha1!$B265,Sheet1!O:O)</f>
        <v>10.222694747149941</v>
      </c>
      <c r="G265" s="3">
        <f>E265/F265</f>
        <v>0.97821565128783416</v>
      </c>
      <c r="H265" s="4">
        <f>E265/D265</f>
        <v>10</v>
      </c>
    </row>
    <row r="266" spans="2:8" x14ac:dyDescent="0.25">
      <c r="B266" t="str">
        <v>Karim Bellarabi</v>
      </c>
      <c r="C266" s="3">
        <f>AVERAGEIF(Sheet1!$H:$H,Planilha1!B266,Sheet1!X:X)</f>
        <v>1.1871585503082669</v>
      </c>
      <c r="D266">
        <f>COUNTIF(Sheet1!H:H,Planilha1!B266)</f>
        <v>1</v>
      </c>
      <c r="E266" s="3">
        <f>SUMIF(Sheet1!$H:$H,Planilha1!$B266,Sheet1!C:C)</f>
        <v>12</v>
      </c>
      <c r="F266" s="3">
        <f>SUMIF(Sheet1!$H:$H,Planilha1!$B266,Sheet1!O:O)</f>
        <v>10.10816962644458</v>
      </c>
      <c r="G266" s="3">
        <f>E266/F266</f>
        <v>1.1871585503082667</v>
      </c>
      <c r="H266" s="4">
        <f>E266/D266</f>
        <v>12</v>
      </c>
    </row>
    <row r="267" spans="2:8" x14ac:dyDescent="0.25">
      <c r="B267" t="str">
        <v>Karim Benzema</v>
      </c>
      <c r="C267" s="3">
        <f>AVERAGEIF(Sheet1!$H:$H,Planilha1!B267,Sheet1!X:X)</f>
        <v>1.0453475564196146</v>
      </c>
      <c r="D267">
        <f>COUNTIF(Sheet1!H:H,Planilha1!B267)</f>
        <v>8</v>
      </c>
      <c r="E267" s="3">
        <f>SUMIF(Sheet1!$H:$H,Planilha1!$B267,Sheet1!C:C)</f>
        <v>161</v>
      </c>
      <c r="F267" s="3">
        <f>SUMIF(Sheet1!$H:$H,Planilha1!$B267,Sheet1!O:O)</f>
        <v>154.6601625289768</v>
      </c>
      <c r="G267" s="3">
        <f>E267/F267</f>
        <v>1.0409920522994109</v>
      </c>
      <c r="H267" s="4">
        <f>E267/D267</f>
        <v>20.125</v>
      </c>
    </row>
    <row r="268" spans="2:8" x14ac:dyDescent="0.25">
      <c r="B268" t="str">
        <v>Karim Onisiwo</v>
      </c>
      <c r="C268" s="3">
        <f>AVERAGEIF(Sheet1!$H:$H,Planilha1!B268,Sheet1!X:X)</f>
        <v>1.259794667202798</v>
      </c>
      <c r="D268">
        <f>COUNTIF(Sheet1!H:H,Planilha1!B268)</f>
        <v>1</v>
      </c>
      <c r="E268" s="3">
        <f>SUMIF(Sheet1!$H:$H,Planilha1!$B268,Sheet1!C:C)</f>
        <v>10</v>
      </c>
      <c r="F268" s="3">
        <f>SUMIF(Sheet1!$H:$H,Planilha1!$B268,Sheet1!O:O)</f>
        <v>7.9378015007823706</v>
      </c>
      <c r="G268" s="3">
        <f>E268/F268</f>
        <v>1.2597946672027984</v>
      </c>
      <c r="H268" s="4">
        <f>E268/D268</f>
        <v>10</v>
      </c>
    </row>
    <row r="269" spans="2:8" x14ac:dyDescent="0.25">
      <c r="B269" t="str">
        <v>Karl Toko Ekambi</v>
      </c>
      <c r="C269" s="3">
        <f>AVERAGEIF(Sheet1!$H:$H,Planilha1!B269,Sheet1!X:X)</f>
        <v>0.94568542114252063</v>
      </c>
      <c r="D269">
        <f>COUNTIF(Sheet1!H:H,Planilha1!B269)</f>
        <v>4</v>
      </c>
      <c r="E269" s="3">
        <f>SUMIF(Sheet1!$H:$H,Planilha1!$B269,Sheet1!C:C)</f>
        <v>53</v>
      </c>
      <c r="F269" s="3">
        <f>SUMIF(Sheet1!$H:$H,Planilha1!$B269,Sheet1!O:O)</f>
        <v>56.620386437512927</v>
      </c>
      <c r="G269" s="3">
        <f>E269/F269</f>
        <v>0.93605860600212543</v>
      </c>
      <c r="H269" s="4">
        <f>E269/D269</f>
        <v>13.25</v>
      </c>
    </row>
    <row r="270" spans="2:8" x14ac:dyDescent="0.25">
      <c r="B270" t="str">
        <v>Kasper Dolberg</v>
      </c>
      <c r="C270" s="3">
        <f>AVERAGEIF(Sheet1!$H:$H,Planilha1!B270,Sheet1!X:X)</f>
        <v>1.274174363974538</v>
      </c>
      <c r="D270">
        <f>COUNTIF(Sheet1!H:H,Planilha1!B270)</f>
        <v>1</v>
      </c>
      <c r="E270" s="3">
        <f>SUMIF(Sheet1!$H:$H,Planilha1!$B270,Sheet1!C:C)</f>
        <v>11</v>
      </c>
      <c r="F270" s="3">
        <f>SUMIF(Sheet1!$H:$H,Planilha1!$B270,Sheet1!O:O)</f>
        <v>8.6330413725227118</v>
      </c>
      <c r="G270" s="3">
        <f>E270/F270</f>
        <v>1.2741743639745382</v>
      </c>
      <c r="H270" s="4">
        <f>E270/D270</f>
        <v>11</v>
      </c>
    </row>
    <row r="271" spans="2:8" x14ac:dyDescent="0.25">
      <c r="B271" t="str">
        <v>Keita</v>
      </c>
      <c r="C271" s="3">
        <f>AVERAGEIF(Sheet1!$H:$H,Planilha1!B271,Sheet1!X:X)</f>
        <v>1.831433781087471</v>
      </c>
      <c r="D271">
        <f>COUNTIF(Sheet1!H:H,Planilha1!B271)</f>
        <v>1</v>
      </c>
      <c r="E271" s="3">
        <f>SUMIF(Sheet1!$H:$H,Planilha1!$B271,Sheet1!C:C)</f>
        <v>16</v>
      </c>
      <c r="F271" s="3">
        <f>SUMIF(Sheet1!$H:$H,Planilha1!$B271,Sheet1!O:O)</f>
        <v>8.7363246027380228</v>
      </c>
      <c r="G271" s="3">
        <f>E271/F271</f>
        <v>1.8314337810874715</v>
      </c>
      <c r="H271" s="4">
        <f>E271/D271</f>
        <v>16</v>
      </c>
    </row>
    <row r="272" spans="2:8" x14ac:dyDescent="0.25">
      <c r="B272" t="str">
        <v>Keito Nakamura</v>
      </c>
      <c r="C272" s="3">
        <f>AVERAGEIF(Sheet1!$H:$H,Planilha1!B272,Sheet1!X:X)</f>
        <v>1.1913857905151399</v>
      </c>
      <c r="D272">
        <f>COUNTIF(Sheet1!H:H,Planilha1!B272)</f>
        <v>1</v>
      </c>
      <c r="E272" s="3">
        <f>SUMIF(Sheet1!$H:$H,Planilha1!$B272,Sheet1!C:C)</f>
        <v>11</v>
      </c>
      <c r="F272" s="3">
        <f>SUMIF(Sheet1!$H:$H,Planilha1!$B272,Sheet1!O:O)</f>
        <v>9.2329454384744167</v>
      </c>
      <c r="G272" s="3">
        <f>E272/F272</f>
        <v>1.1913857905151402</v>
      </c>
      <c r="H272" s="4">
        <f>E272/D272</f>
        <v>11</v>
      </c>
    </row>
    <row r="273" spans="2:8" x14ac:dyDescent="0.25">
      <c r="B273" t="str">
        <v>Kelechi Iheanacho</v>
      </c>
      <c r="C273" s="3">
        <f>AVERAGEIF(Sheet1!$H:$H,Planilha1!B273,Sheet1!X:X)</f>
        <v>1.326171480590882</v>
      </c>
      <c r="D273">
        <f>COUNTIF(Sheet1!H:H,Planilha1!B273)</f>
        <v>1</v>
      </c>
      <c r="E273" s="3">
        <f>SUMIF(Sheet1!$H:$H,Planilha1!$B273,Sheet1!C:C)</f>
        <v>12</v>
      </c>
      <c r="F273" s="3">
        <f>SUMIF(Sheet1!$H:$H,Planilha1!$B273,Sheet1!O:O)</f>
        <v>9.0486035747453553</v>
      </c>
      <c r="G273" s="3">
        <f>E273/F273</f>
        <v>1.3261714805908824</v>
      </c>
      <c r="H273" s="4">
        <f>E273/D273</f>
        <v>12</v>
      </c>
    </row>
    <row r="274" spans="2:8" x14ac:dyDescent="0.25">
      <c r="B274" t="str">
        <v>Kevin De Bruyne</v>
      </c>
      <c r="C274" s="3">
        <f>AVERAGEIF(Sheet1!$H:$H,Planilha1!B274,Sheet1!X:X)</f>
        <v>1.2946544724005611</v>
      </c>
      <c r="D274">
        <f>COUNTIF(Sheet1!H:H,Planilha1!B274)</f>
        <v>1</v>
      </c>
      <c r="E274" s="3">
        <f>SUMIF(Sheet1!$H:$H,Planilha1!$B274,Sheet1!C:C)</f>
        <v>10</v>
      </c>
      <c r="F274" s="3">
        <f>SUMIF(Sheet1!$H:$H,Planilha1!$B274,Sheet1!O:O)</f>
        <v>7.7240686323493719</v>
      </c>
      <c r="G274" s="3">
        <f>E274/F274</f>
        <v>1.2946544724005611</v>
      </c>
      <c r="H274" s="4">
        <f>E274/D274</f>
        <v>10</v>
      </c>
    </row>
    <row r="275" spans="2:8" x14ac:dyDescent="0.25">
      <c r="B275" t="str">
        <v>Kevin Gameiro</v>
      </c>
      <c r="C275" s="3">
        <f>AVERAGEIF(Sheet1!$H:$H,Planilha1!B275,Sheet1!X:X)</f>
        <v>0.90436323497336835</v>
      </c>
      <c r="D275">
        <f>COUNTIF(Sheet1!H:H,Planilha1!B275)</f>
        <v>4</v>
      </c>
      <c r="E275" s="3">
        <f>SUMIF(Sheet1!$H:$H,Planilha1!$B275,Sheet1!C:C)</f>
        <v>49</v>
      </c>
      <c r="F275" s="3">
        <f>SUMIF(Sheet1!$H:$H,Planilha1!$B275,Sheet1!O:O)</f>
        <v>55.343369433656335</v>
      </c>
      <c r="G275" s="3">
        <f>E275/F275</f>
        <v>0.88538158231835629</v>
      </c>
      <c r="H275" s="4">
        <f>E275/D275</f>
        <v>12.25</v>
      </c>
    </row>
    <row r="276" spans="2:8" x14ac:dyDescent="0.25">
      <c r="B276" t="str">
        <v>Kevin Kurányi</v>
      </c>
      <c r="C276" s="3">
        <f>AVERAGEIF(Sheet1!$H:$H,Planilha1!B276,Sheet1!X:X)</f>
        <v>1.3514436309705871</v>
      </c>
      <c r="D276">
        <f>COUNTIF(Sheet1!H:H,Planilha1!B276)</f>
        <v>1</v>
      </c>
      <c r="E276" s="3">
        <f>SUMIF(Sheet1!$H:$H,Planilha1!$B276,Sheet1!C:C)</f>
        <v>10</v>
      </c>
      <c r="F276" s="3">
        <f>SUMIF(Sheet1!$H:$H,Planilha1!$B276,Sheet1!O:O)</f>
        <v>7.3994947113096714</v>
      </c>
      <c r="G276" s="3">
        <f>E276/F276</f>
        <v>1.3514436309705873</v>
      </c>
      <c r="H276" s="4">
        <f>E276/D276</f>
        <v>10</v>
      </c>
    </row>
    <row r="277" spans="2:8" x14ac:dyDescent="0.25">
      <c r="B277" t="str">
        <v>Kevin Lasagna</v>
      </c>
      <c r="C277" s="3">
        <f>AVERAGEIF(Sheet1!$H:$H,Planilha1!B277,Sheet1!X:X)</f>
        <v>0.93137918744337211</v>
      </c>
      <c r="D277">
        <f>COUNTIF(Sheet1!H:H,Planilha1!B277)</f>
        <v>2</v>
      </c>
      <c r="E277" s="3">
        <f>SUMIF(Sheet1!$H:$H,Planilha1!$B277,Sheet1!C:C)</f>
        <v>22</v>
      </c>
      <c r="F277" s="3">
        <f>SUMIF(Sheet1!$H:$H,Planilha1!$B277,Sheet1!O:O)</f>
        <v>23.645288322120898</v>
      </c>
      <c r="G277" s="3">
        <f>E277/F277</f>
        <v>0.9304179209106247</v>
      </c>
      <c r="H277" s="4">
        <f>E277/D277</f>
        <v>11</v>
      </c>
    </row>
    <row r="278" spans="2:8" x14ac:dyDescent="0.25">
      <c r="B278" t="str">
        <v>Kevin Schade</v>
      </c>
      <c r="C278" s="3">
        <f>AVERAGEIF(Sheet1!$H:$H,Planilha1!B278,Sheet1!X:X)</f>
        <v>1.1618084782622959</v>
      </c>
      <c r="D278">
        <f>COUNTIF(Sheet1!H:H,Planilha1!B278)</f>
        <v>1</v>
      </c>
      <c r="E278" s="3">
        <f>SUMIF(Sheet1!$H:$H,Planilha1!$B278,Sheet1!C:C)</f>
        <v>11</v>
      </c>
      <c r="F278" s="3">
        <f>SUMIF(Sheet1!$H:$H,Planilha1!$B278,Sheet1!O:O)</f>
        <v>9.4679976999759674</v>
      </c>
      <c r="G278" s="3">
        <f>E278/F278</f>
        <v>1.1618084782622964</v>
      </c>
      <c r="H278" s="4">
        <f>E278/D278</f>
        <v>11</v>
      </c>
    </row>
    <row r="279" spans="2:8" x14ac:dyDescent="0.25">
      <c r="B279" t="str">
        <v>Kevin Volland</v>
      </c>
      <c r="C279" s="3">
        <f>AVERAGEIF(Sheet1!$H:$H,Planilha1!B279,Sheet1!X:X)</f>
        <v>1.3830040447833201</v>
      </c>
      <c r="D279">
        <f>COUNTIF(Sheet1!H:H,Planilha1!B279)</f>
        <v>2</v>
      </c>
      <c r="E279" s="3">
        <f>SUMIF(Sheet1!$H:$H,Planilha1!$B279,Sheet1!C:C)</f>
        <v>30</v>
      </c>
      <c r="F279" s="3">
        <f>SUMIF(Sheet1!$H:$H,Planilha1!$B279,Sheet1!O:O)</f>
        <v>21.668436063453562</v>
      </c>
      <c r="G279" s="3">
        <f>E279/F279</f>
        <v>1.3845023199712427</v>
      </c>
      <c r="H279" s="4">
        <f>E279/D279</f>
        <v>15</v>
      </c>
    </row>
    <row r="280" spans="2:8" x14ac:dyDescent="0.25">
      <c r="B280" t="str">
        <v>Kevin-Prince Boateng</v>
      </c>
      <c r="C280" s="3">
        <f>AVERAGEIF(Sheet1!$H:$H,Planilha1!B280,Sheet1!X:X)</f>
        <v>1.265864467471514</v>
      </c>
      <c r="D280">
        <f>COUNTIF(Sheet1!H:H,Planilha1!B280)</f>
        <v>1</v>
      </c>
      <c r="E280" s="3">
        <f>SUMIF(Sheet1!$H:$H,Planilha1!$B280,Sheet1!C:C)</f>
        <v>10</v>
      </c>
      <c r="F280" s="3">
        <f>SUMIF(Sheet1!$H:$H,Planilha1!$B280,Sheet1!O:O)</f>
        <v>7.8997398670762777</v>
      </c>
      <c r="G280" s="3">
        <f>E280/F280</f>
        <v>1.2658644674715138</v>
      </c>
      <c r="H280" s="4">
        <f>E280/D280</f>
        <v>10</v>
      </c>
    </row>
    <row r="281" spans="2:8" x14ac:dyDescent="0.25">
      <c r="B281" t="str">
        <v>Khouma Babacar</v>
      </c>
      <c r="C281" s="3">
        <f>AVERAGEIF(Sheet1!$H:$H,Planilha1!B281,Sheet1!X:X)</f>
        <v>1.97061162252846</v>
      </c>
      <c r="D281">
        <f>COUNTIF(Sheet1!H:H,Planilha1!B281)</f>
        <v>1</v>
      </c>
      <c r="E281" s="3">
        <f>SUMIF(Sheet1!$H:$H,Planilha1!$B281,Sheet1!C:C)</f>
        <v>10</v>
      </c>
      <c r="F281" s="3">
        <f>SUMIF(Sheet1!$H:$H,Planilha1!$B281,Sheet1!O:O)</f>
        <v>5.0745666399598122</v>
      </c>
      <c r="G281" s="3">
        <f>E281/F281</f>
        <v>1.9706116225284598</v>
      </c>
      <c r="H281" s="4">
        <f>E281/D281</f>
        <v>10</v>
      </c>
    </row>
    <row r="282" spans="2:8" x14ac:dyDescent="0.25">
      <c r="B282" t="str">
        <v>Khvicha Kvaratskhelia</v>
      </c>
      <c r="C282" s="3">
        <f>AVERAGEIF(Sheet1!$H:$H,Planilha1!B282,Sheet1!X:X)</f>
        <v>1.1675973908151671</v>
      </c>
      <c r="D282">
        <f>COUNTIF(Sheet1!H:H,Planilha1!B282)</f>
        <v>2</v>
      </c>
      <c r="E282" s="3">
        <f>SUMIF(Sheet1!$H:$H,Planilha1!$B282,Sheet1!C:C)</f>
        <v>23</v>
      </c>
      <c r="F282" s="3">
        <f>SUMIF(Sheet1!$H:$H,Planilha1!$B282,Sheet1!O:O)</f>
        <v>21.051444254815575</v>
      </c>
      <c r="G282" s="3">
        <f>E282/F282</f>
        <v>1.0925616181767999</v>
      </c>
      <c r="H282" s="4">
        <f>E282/D282</f>
        <v>11.5</v>
      </c>
    </row>
    <row r="283" spans="2:8" x14ac:dyDescent="0.25">
      <c r="B283" t="str">
        <v>Kike García</v>
      </c>
      <c r="C283" s="3">
        <f>AVERAGEIF(Sheet1!$H:$H,Planilha1!B283,Sheet1!X:X)</f>
        <v>1.1722487002761857</v>
      </c>
      <c r="D283">
        <f>COUNTIF(Sheet1!H:H,Planilha1!B283)</f>
        <v>2</v>
      </c>
      <c r="E283" s="3">
        <f>SUMIF(Sheet1!$H:$H,Planilha1!$B283,Sheet1!C:C)</f>
        <v>25</v>
      </c>
      <c r="F283" s="3">
        <f>SUMIF(Sheet1!$H:$H,Planilha1!$B283,Sheet1!O:O)</f>
        <v>21.32292655762285</v>
      </c>
      <c r="G283" s="3">
        <f>E283/F283</f>
        <v>1.1724469402659277</v>
      </c>
      <c r="H283" s="4">
        <f>E283/D283</f>
        <v>12.5</v>
      </c>
    </row>
    <row r="284" spans="2:8" x14ac:dyDescent="0.25">
      <c r="B284" t="str">
        <v>Klaas-Jan Huntelaar</v>
      </c>
      <c r="C284" s="3">
        <f>AVERAGEIF(Sheet1!$H:$H,Planilha1!B284,Sheet1!X:X)</f>
        <v>0.91607560763642204</v>
      </c>
      <c r="D284">
        <f>COUNTIF(Sheet1!H:H,Planilha1!B284)</f>
        <v>1</v>
      </c>
      <c r="E284" s="3">
        <f>SUMIF(Sheet1!$H:$H,Planilha1!$B284,Sheet1!C:C)</f>
        <v>12</v>
      </c>
      <c r="F284" s="3">
        <f>SUMIF(Sheet1!$H:$H,Planilha1!$B284,Sheet1!O:O)</f>
        <v>13.099355446174741</v>
      </c>
      <c r="G284" s="3">
        <f>E284/F284</f>
        <v>0.91607560763642204</v>
      </c>
      <c r="H284" s="4">
        <f>E284/D284</f>
        <v>12</v>
      </c>
    </row>
    <row r="285" spans="2:8" x14ac:dyDescent="0.25">
      <c r="B285" t="str">
        <v>Konstantin Tyukavin</v>
      </c>
      <c r="C285" s="3">
        <f>AVERAGEIF(Sheet1!$H:$H,Planilha1!B285,Sheet1!X:X)</f>
        <v>0.99561989682153496</v>
      </c>
      <c r="D285">
        <f>COUNTIF(Sheet1!H:H,Planilha1!B285)</f>
        <v>1</v>
      </c>
      <c r="E285" s="3">
        <f>SUMIF(Sheet1!$H:$H,Planilha1!$B285,Sheet1!C:C)</f>
        <v>15</v>
      </c>
      <c r="F285" s="3">
        <f>SUMIF(Sheet1!$H:$H,Planilha1!$B285,Sheet1!O:O)</f>
        <v>15.06599059328437</v>
      </c>
      <c r="G285" s="3">
        <f>E285/F285</f>
        <v>0.99561989682153484</v>
      </c>
      <c r="H285" s="4">
        <f>E285/D285</f>
        <v>15</v>
      </c>
    </row>
    <row r="286" spans="2:8" x14ac:dyDescent="0.25">
      <c r="B286" t="str">
        <v>Krzysztof Piatek</v>
      </c>
      <c r="C286" s="3">
        <f>AVERAGEIF(Sheet1!$H:$H,Planilha1!B286,Sheet1!X:X)</f>
        <v>1.2381569870128779</v>
      </c>
      <c r="D286">
        <f>COUNTIF(Sheet1!H:H,Planilha1!B286)</f>
        <v>1</v>
      </c>
      <c r="E286" s="3">
        <f>SUMIF(Sheet1!$H:$H,Planilha1!$B286,Sheet1!C:C)</f>
        <v>22</v>
      </c>
      <c r="F286" s="3">
        <f>SUMIF(Sheet1!$H:$H,Planilha1!$B286,Sheet1!O:O)</f>
        <v>17.768344588577751</v>
      </c>
      <c r="G286" s="3">
        <f>E286/F286</f>
        <v>1.2381569870128779</v>
      </c>
      <c r="H286" s="4">
        <f>E286/D286</f>
        <v>22</v>
      </c>
    </row>
    <row r="287" spans="2:8" x14ac:dyDescent="0.25">
      <c r="B287" t="str">
        <v>Kwon Chang-Hoon</v>
      </c>
      <c r="C287" s="3">
        <f>AVERAGEIF(Sheet1!$H:$H,Planilha1!B287,Sheet1!X:X)</f>
        <v>1.668198074249428</v>
      </c>
      <c r="D287">
        <f>COUNTIF(Sheet1!H:H,Planilha1!B287)</f>
        <v>1</v>
      </c>
      <c r="E287" s="3">
        <f>SUMIF(Sheet1!$H:$H,Planilha1!$B287,Sheet1!C:C)</f>
        <v>11</v>
      </c>
      <c r="F287" s="3">
        <f>SUMIF(Sheet1!$H:$H,Planilha1!$B287,Sheet1!O:O)</f>
        <v>6.593941193073988</v>
      </c>
      <c r="G287" s="3">
        <f>E287/F287</f>
        <v>1.6681980742494276</v>
      </c>
      <c r="H287" s="4">
        <f>E287/D287</f>
        <v>11</v>
      </c>
    </row>
    <row r="288" spans="2:8" x14ac:dyDescent="0.25">
      <c r="B288" t="str">
        <v>Kylian Mbappe-Lottin</v>
      </c>
      <c r="C288" s="3">
        <f>AVERAGEIF(Sheet1!$H:$H,Planilha1!B288,Sheet1!X:X)</f>
        <v>1.1769087237555345</v>
      </c>
      <c r="D288">
        <f>COUNTIF(Sheet1!H:H,Planilha1!B288)</f>
        <v>9</v>
      </c>
      <c r="E288" s="3">
        <f>SUMIF(Sheet1!$H:$H,Planilha1!$B288,Sheet1!C:C)</f>
        <v>222</v>
      </c>
      <c r="F288" s="3">
        <f>SUMIF(Sheet1!$H:$H,Planilha1!$B288,Sheet1!O:O)</f>
        <v>196.09838191419843</v>
      </c>
      <c r="G288" s="3">
        <f>E288/F288</f>
        <v>1.1320848129034264</v>
      </c>
      <c r="H288" s="4">
        <f>E288/D288</f>
        <v>24.666666666666668</v>
      </c>
    </row>
    <row r="289" spans="2:8" x14ac:dyDescent="0.25">
      <c r="B289" t="str">
        <v>Lars Stindl</v>
      </c>
      <c r="C289" s="3">
        <f>AVERAGEIF(Sheet1!$H:$H,Planilha1!B289,Sheet1!X:X)</f>
        <v>1.3648605076775309</v>
      </c>
      <c r="D289">
        <f>COUNTIF(Sheet1!H:H,Planilha1!B289)</f>
        <v>2</v>
      </c>
      <c r="E289" s="3">
        <f>SUMIF(Sheet1!$H:$H,Planilha1!$B289,Sheet1!C:C)</f>
        <v>25</v>
      </c>
      <c r="F289" s="3">
        <f>SUMIF(Sheet1!$H:$H,Planilha1!$B289,Sheet1!O:O)</f>
        <v>18.303386094048619</v>
      </c>
      <c r="G289" s="3">
        <f>E289/F289</f>
        <v>1.3658674887554711</v>
      </c>
      <c r="H289" s="4">
        <f>E289/D289</f>
        <v>12.5</v>
      </c>
    </row>
    <row r="290" spans="2:8" x14ac:dyDescent="0.25">
      <c r="B290" t="str">
        <v>Lautaro Martínez</v>
      </c>
      <c r="C290" s="3">
        <f>AVERAGEIF(Sheet1!$H:$H,Planilha1!B290,Sheet1!X:X)</f>
        <v>0.96968390304479246</v>
      </c>
      <c r="D290">
        <f>COUNTIF(Sheet1!H:H,Planilha1!B290)</f>
        <v>6</v>
      </c>
      <c r="E290" s="3">
        <f>SUMIF(Sheet1!$H:$H,Planilha1!$B290,Sheet1!C:C)</f>
        <v>109</v>
      </c>
      <c r="F290" s="3">
        <f>SUMIF(Sheet1!$H:$H,Planilha1!$B290,Sheet1!O:O)</f>
        <v>111.88433995563537</v>
      </c>
      <c r="G290" s="3">
        <f>E290/F290</f>
        <v>0.97422034257181056</v>
      </c>
      <c r="H290" s="4">
        <f>E290/D290</f>
        <v>18.166666666666668</v>
      </c>
    </row>
    <row r="291" spans="2:8" x14ac:dyDescent="0.25">
      <c r="B291" t="str">
        <v>Leandro Trossard</v>
      </c>
      <c r="C291" s="3">
        <f>AVERAGEIF(Sheet1!$H:$H,Planilha1!B291,Sheet1!X:X)</f>
        <v>1.2531632518126889</v>
      </c>
      <c r="D291">
        <f>COUNTIF(Sheet1!H:H,Planilha1!B291)</f>
        <v>1</v>
      </c>
      <c r="E291" s="3">
        <f>SUMIF(Sheet1!$H:$H,Planilha1!$B291,Sheet1!C:C)</f>
        <v>12</v>
      </c>
      <c r="F291" s="3">
        <f>SUMIF(Sheet1!$H:$H,Planilha1!$B291,Sheet1!O:O)</f>
        <v>9.5757675487548113</v>
      </c>
      <c r="G291" s="3">
        <f>E291/F291</f>
        <v>1.2531632518126889</v>
      </c>
      <c r="H291" s="4">
        <f>E291/D291</f>
        <v>12</v>
      </c>
    </row>
    <row r="292" spans="2:8" x14ac:dyDescent="0.25">
      <c r="B292" t="str">
        <v>Lebo Mothiba</v>
      </c>
      <c r="C292" s="3">
        <f>AVERAGEIF(Sheet1!$H:$H,Planilha1!B292,Sheet1!X:X)</f>
        <v>1.3622537804820209</v>
      </c>
      <c r="D292">
        <f>COUNTIF(Sheet1!H:H,Planilha1!B292)</f>
        <v>1</v>
      </c>
      <c r="E292" s="3">
        <f>SUMIF(Sheet1!$H:$H,Planilha1!$B292,Sheet1!C:C)</f>
        <v>10</v>
      </c>
      <c r="F292" s="3">
        <f>SUMIF(Sheet1!$H:$H,Planilha1!$B292,Sheet1!O:O)</f>
        <v>7.3407761044800282</v>
      </c>
      <c r="G292" s="3">
        <f>E292/F292</f>
        <v>1.3622537804820207</v>
      </c>
      <c r="H292" s="4">
        <f>E292/D292</f>
        <v>10</v>
      </c>
    </row>
    <row r="293" spans="2:8" x14ac:dyDescent="0.25">
      <c r="B293" t="str">
        <v>Leon Bailey</v>
      </c>
      <c r="C293" s="3">
        <f>AVERAGEIF(Sheet1!$H:$H,Planilha1!B293,Sheet1!X:X)</f>
        <v>1.5466552581452431</v>
      </c>
      <c r="D293">
        <f>COUNTIF(Sheet1!H:H,Planilha1!B293)</f>
        <v>1</v>
      </c>
      <c r="E293" s="3">
        <f>SUMIF(Sheet1!$H:$H,Planilha1!$B293,Sheet1!C:C)</f>
        <v>10</v>
      </c>
      <c r="F293" s="3">
        <f>SUMIF(Sheet1!$H:$H,Planilha1!$B293,Sheet1!O:O)</f>
        <v>6.4655649326741704</v>
      </c>
      <c r="G293" s="3">
        <f>E293/F293</f>
        <v>1.5466552581452431</v>
      </c>
      <c r="H293" s="4">
        <f>E293/D293</f>
        <v>10</v>
      </c>
    </row>
    <row r="294" spans="2:8" x14ac:dyDescent="0.25">
      <c r="B294" t="str">
        <v>Leonardo Pavoletti</v>
      </c>
      <c r="C294" s="3">
        <f>AVERAGEIF(Sheet1!$H:$H,Planilha1!B294,Sheet1!X:X)</f>
        <v>1.1956965909398514</v>
      </c>
      <c r="D294">
        <f>COUNTIF(Sheet1!H:H,Planilha1!B294)</f>
        <v>3</v>
      </c>
      <c r="E294" s="3">
        <f>SUMIF(Sheet1!$H:$H,Planilha1!$B294,Sheet1!C:C)</f>
        <v>41</v>
      </c>
      <c r="F294" s="3">
        <f>SUMIF(Sheet1!$H:$H,Planilha1!$B294,Sheet1!O:O)</f>
        <v>34.374326609075055</v>
      </c>
      <c r="G294" s="3">
        <f>E294/F294</f>
        <v>1.1927506381805228</v>
      </c>
      <c r="H294" s="4">
        <f>E294/D294</f>
        <v>13.666666666666666</v>
      </c>
    </row>
    <row r="295" spans="2:8" x14ac:dyDescent="0.25">
      <c r="B295" t="str">
        <v>Leonardo Ulloa</v>
      </c>
      <c r="C295" s="3">
        <f>AVERAGEIF(Sheet1!$H:$H,Planilha1!B295,Sheet1!X:X)</f>
        <v>1.232642447734946</v>
      </c>
      <c r="D295">
        <f>COUNTIF(Sheet1!H:H,Planilha1!B295)</f>
        <v>1</v>
      </c>
      <c r="E295" s="3">
        <f>SUMIF(Sheet1!$H:$H,Planilha1!$B295,Sheet1!C:C)</f>
        <v>11</v>
      </c>
      <c r="F295" s="3">
        <f>SUMIF(Sheet1!$H:$H,Planilha1!$B295,Sheet1!O:O)</f>
        <v>8.9239178970456123</v>
      </c>
      <c r="G295" s="3">
        <f>E295/F295</f>
        <v>1.2326424477349465</v>
      </c>
      <c r="H295" s="4">
        <f>E295/D295</f>
        <v>11</v>
      </c>
    </row>
    <row r="296" spans="2:8" x14ac:dyDescent="0.25">
      <c r="B296" t="str">
        <v>Leroy Sané</v>
      </c>
      <c r="C296" s="3">
        <f>AVERAGEIF(Sheet1!$H:$H,Planilha1!B296,Sheet1!X:X)</f>
        <v>1.43226470699616</v>
      </c>
      <c r="D296">
        <f>COUNTIF(Sheet1!H:H,Planilha1!B296)</f>
        <v>1</v>
      </c>
      <c r="E296" s="3">
        <f>SUMIF(Sheet1!$H:$H,Planilha1!$B296,Sheet1!C:C)</f>
        <v>10</v>
      </c>
      <c r="F296" s="3">
        <f>SUMIF(Sheet1!$H:$H,Planilha1!$B296,Sheet1!O:O)</f>
        <v>6.9819496013224116</v>
      </c>
      <c r="G296" s="3">
        <f>E296/F296</f>
        <v>1.43226470699616</v>
      </c>
      <c r="H296" s="4">
        <f>E296/D296</f>
        <v>10</v>
      </c>
    </row>
    <row r="297" spans="2:8" x14ac:dyDescent="0.25">
      <c r="B297" t="str">
        <v>Liam Delap</v>
      </c>
      <c r="C297" s="3">
        <f>AVERAGEIF(Sheet1!$H:$H,Planilha1!B297,Sheet1!X:X)</f>
        <v>1.005784769131882</v>
      </c>
      <c r="D297">
        <f>COUNTIF(Sheet1!H:H,Planilha1!B297)</f>
        <v>1</v>
      </c>
      <c r="E297" s="3">
        <f>SUMIF(Sheet1!$H:$H,Planilha1!$B297,Sheet1!C:C)</f>
        <v>12</v>
      </c>
      <c r="F297" s="3">
        <f>SUMIF(Sheet1!$H:$H,Planilha1!$B297,Sheet1!O:O)</f>
        <v>11.930982023477551</v>
      </c>
      <c r="G297" s="3">
        <f>E297/F297</f>
        <v>1.0057847691318818</v>
      </c>
      <c r="H297" s="4">
        <f>E297/D297</f>
        <v>12</v>
      </c>
    </row>
    <row r="298" spans="2:8" x14ac:dyDescent="0.25">
      <c r="B298" t="str">
        <v>Lionel Messi</v>
      </c>
      <c r="C298" s="3">
        <f>AVERAGEIF(Sheet1!$H:$H,Planilha1!B298,Sheet1!X:X)</f>
        <v>1.1653033326736841</v>
      </c>
      <c r="D298">
        <f>COUNTIF(Sheet1!H:H,Planilha1!B298)</f>
        <v>8</v>
      </c>
      <c r="E298" s="3">
        <f>SUMIF(Sheet1!$H:$H,Planilha1!$B298,Sheet1!C:C)</f>
        <v>247</v>
      </c>
      <c r="F298" s="3">
        <f>SUMIF(Sheet1!$H:$H,Planilha1!$B298,Sheet1!O:O)</f>
        <v>210.01220717374235</v>
      </c>
      <c r="G298" s="3">
        <f>E298/F298</f>
        <v>1.1761221089194009</v>
      </c>
      <c r="H298" s="4">
        <f>E298/D298</f>
        <v>30.875</v>
      </c>
    </row>
    <row r="299" spans="2:8" x14ac:dyDescent="0.25">
      <c r="B299" t="str">
        <v>Lois Diony</v>
      </c>
      <c r="C299" s="3">
        <f>AVERAGEIF(Sheet1!$H:$H,Planilha1!B299,Sheet1!X:X)</f>
        <v>1.906644697122599</v>
      </c>
      <c r="D299">
        <f>COUNTIF(Sheet1!H:H,Planilha1!B299)</f>
        <v>1</v>
      </c>
      <c r="E299" s="3">
        <f>SUMIF(Sheet1!$H:$H,Planilha1!$B299,Sheet1!C:C)</f>
        <v>11</v>
      </c>
      <c r="F299" s="3">
        <f>SUMIF(Sheet1!$H:$H,Planilha1!$B299,Sheet1!O:O)</f>
        <v>5.7692972458899021</v>
      </c>
      <c r="G299" s="3">
        <f>E299/F299</f>
        <v>1.9066446971225994</v>
      </c>
      <c r="H299" s="4">
        <f>E299/D299</f>
        <v>11</v>
      </c>
    </row>
    <row r="300" spans="2:8" x14ac:dyDescent="0.25">
      <c r="B300" t="str">
        <v>Loïs Openda</v>
      </c>
      <c r="C300" s="3">
        <f>AVERAGEIF(Sheet1!$H:$H,Planilha1!B300,Sheet1!X:X)</f>
        <v>1.0379577767313035</v>
      </c>
      <c r="D300">
        <f>COUNTIF(Sheet1!H:H,Planilha1!B300)</f>
        <v>2</v>
      </c>
      <c r="E300" s="3">
        <f>SUMIF(Sheet1!$H:$H,Planilha1!$B300,Sheet1!C:C)</f>
        <v>45</v>
      </c>
      <c r="F300" s="3">
        <f>SUMIF(Sheet1!$H:$H,Planilha1!$B300,Sheet1!O:O)</f>
        <v>43.731395281851292</v>
      </c>
      <c r="G300" s="3">
        <f>E300/F300</f>
        <v>1.0290090153760811</v>
      </c>
      <c r="H300" s="4">
        <f>E300/D300</f>
        <v>22.5</v>
      </c>
    </row>
    <row r="301" spans="2:8" x14ac:dyDescent="0.25">
      <c r="B301" t="str">
        <v>Loren Morón</v>
      </c>
      <c r="C301" s="3">
        <f>AVERAGEIF(Sheet1!$H:$H,Planilha1!B301,Sheet1!X:X)</f>
        <v>1.306057434426799</v>
      </c>
      <c r="D301">
        <f>COUNTIF(Sheet1!H:H,Planilha1!B301)</f>
        <v>1</v>
      </c>
      <c r="E301" s="3">
        <f>SUMIF(Sheet1!$H:$H,Planilha1!$B301,Sheet1!C:C)</f>
        <v>10</v>
      </c>
      <c r="F301" s="3">
        <f>SUMIF(Sheet1!$H:$H,Planilha1!$B301,Sheet1!O:O)</f>
        <v>7.6566311223432422</v>
      </c>
      <c r="G301" s="3">
        <f>E301/F301</f>
        <v>1.3060574344267992</v>
      </c>
      <c r="H301" s="4">
        <f>E301/D301</f>
        <v>10</v>
      </c>
    </row>
    <row r="302" spans="2:8" x14ac:dyDescent="0.25">
      <c r="B302" t="str">
        <v>Lorenzo Insigne</v>
      </c>
      <c r="C302" s="3">
        <f>AVERAGEIF(Sheet1!$H:$H,Planilha1!B302,Sheet1!X:X)</f>
        <v>1.0361600667745337</v>
      </c>
      <c r="D302">
        <f>COUNTIF(Sheet1!H:H,Planilha1!B302)</f>
        <v>5</v>
      </c>
      <c r="E302" s="3">
        <f>SUMIF(Sheet1!$H:$H,Planilha1!$B302,Sheet1!C:C)</f>
        <v>70</v>
      </c>
      <c r="F302" s="3">
        <f>SUMIF(Sheet1!$H:$H,Planilha1!$B302,Sheet1!O:O)</f>
        <v>68.219042748212814</v>
      </c>
      <c r="G302" s="3">
        <f>E302/F302</f>
        <v>1.026106453272299</v>
      </c>
      <c r="H302" s="4">
        <f>E302/D302</f>
        <v>14</v>
      </c>
    </row>
    <row r="303" spans="2:8" x14ac:dyDescent="0.25">
      <c r="B303" t="str">
        <v>Lorenzo Lucca</v>
      </c>
      <c r="C303" s="3">
        <f>AVERAGEIF(Sheet1!$H:$H,Planilha1!B303,Sheet1!X:X)</f>
        <v>1.2968066362128889</v>
      </c>
      <c r="D303">
        <f>COUNTIF(Sheet1!H:H,Planilha1!B303)</f>
        <v>1</v>
      </c>
      <c r="E303" s="3">
        <f>SUMIF(Sheet1!$H:$H,Planilha1!$B303,Sheet1!C:C)</f>
        <v>12</v>
      </c>
      <c r="F303" s="3">
        <f>SUMIF(Sheet1!$H:$H,Planilha1!$B303,Sheet1!O:O)</f>
        <v>9.2534998394548893</v>
      </c>
      <c r="G303" s="3">
        <f>E303/F303</f>
        <v>1.2968066362128887</v>
      </c>
      <c r="H303" s="4">
        <f>E303/D303</f>
        <v>12</v>
      </c>
    </row>
    <row r="304" spans="2:8" x14ac:dyDescent="0.25">
      <c r="B304" t="str">
        <v>Lorenzo Melgarejo</v>
      </c>
      <c r="C304" s="3">
        <f>AVERAGEIF(Sheet1!$H:$H,Planilha1!B304,Sheet1!X:X)</f>
        <v>1.0665921339619551</v>
      </c>
      <c r="D304">
        <f>COUNTIF(Sheet1!H:H,Planilha1!B304)</f>
        <v>1</v>
      </c>
      <c r="E304" s="3">
        <f>SUMIF(Sheet1!$H:$H,Planilha1!$B304,Sheet1!C:C)</f>
        <v>10</v>
      </c>
      <c r="F304" s="3">
        <f>SUMIF(Sheet1!$H:$H,Planilha1!$B304,Sheet1!O:O)</f>
        <v>9.3756551183760166</v>
      </c>
      <c r="G304" s="3">
        <f>E304/F304</f>
        <v>1.0665921339619548</v>
      </c>
      <c r="H304" s="4">
        <f>E304/D304</f>
        <v>10</v>
      </c>
    </row>
    <row r="305" spans="2:8" x14ac:dyDescent="0.25">
      <c r="B305" t="str">
        <v>Luca Toni</v>
      </c>
      <c r="C305" s="3">
        <f>AVERAGEIF(Sheet1!$H:$H,Planilha1!B305,Sheet1!X:X)</f>
        <v>1.0375019564917061</v>
      </c>
      <c r="D305">
        <f>COUNTIF(Sheet1!H:H,Planilha1!B305)</f>
        <v>1</v>
      </c>
      <c r="E305" s="3">
        <f>SUMIF(Sheet1!$H:$H,Planilha1!$B305,Sheet1!C:C)</f>
        <v>22</v>
      </c>
      <c r="F305" s="3">
        <f>SUMIF(Sheet1!$H:$H,Planilha1!$B305,Sheet1!O:O)</f>
        <v>21.204779289662842</v>
      </c>
      <c r="G305" s="3">
        <f>E305/F305</f>
        <v>1.0375019564917056</v>
      </c>
      <c r="H305" s="4">
        <f>E305/D305</f>
        <v>22</v>
      </c>
    </row>
    <row r="306" spans="2:8" x14ac:dyDescent="0.25">
      <c r="B306" t="str">
        <v>Lucas Alario</v>
      </c>
      <c r="C306" s="3">
        <f>AVERAGEIF(Sheet1!$H:$H,Planilha1!B306,Sheet1!X:X)</f>
        <v>1.509879264500696</v>
      </c>
      <c r="D306">
        <f>COUNTIF(Sheet1!H:H,Planilha1!B306)</f>
        <v>1</v>
      </c>
      <c r="E306" s="3">
        <f>SUMIF(Sheet1!$H:$H,Planilha1!$B306,Sheet1!C:C)</f>
        <v>11</v>
      </c>
      <c r="F306" s="3">
        <f>SUMIF(Sheet1!$H:$H,Planilha1!$B306,Sheet1!O:O)</f>
        <v>7.2853507287800312</v>
      </c>
      <c r="G306" s="3">
        <f>E306/F306</f>
        <v>1.5098792645006955</v>
      </c>
      <c r="H306" s="4">
        <f>E306/D306</f>
        <v>11</v>
      </c>
    </row>
    <row r="307" spans="2:8" x14ac:dyDescent="0.25">
      <c r="B307" t="str">
        <v>Lucas Barrios</v>
      </c>
      <c r="C307" s="3">
        <f>AVERAGEIF(Sheet1!$H:$H,Planilha1!B307,Sheet1!X:X)</f>
        <v>1.153814533051198</v>
      </c>
      <c r="D307">
        <f>COUNTIF(Sheet1!H:H,Planilha1!B307)</f>
        <v>1</v>
      </c>
      <c r="E307" s="3">
        <f>SUMIF(Sheet1!$H:$H,Planilha1!$B307,Sheet1!C:C)</f>
        <v>11</v>
      </c>
      <c r="F307" s="3">
        <f>SUMIF(Sheet1!$H:$H,Planilha1!$B307,Sheet1!O:O)</f>
        <v>9.5335945985279977</v>
      </c>
      <c r="G307" s="3">
        <f>E307/F307</f>
        <v>1.1538145330511975</v>
      </c>
      <c r="H307" s="4">
        <f>E307/D307</f>
        <v>11</v>
      </c>
    </row>
    <row r="308" spans="2:8" x14ac:dyDescent="0.25">
      <c r="B308" t="str">
        <v>Lucas Moura</v>
      </c>
      <c r="C308" s="3">
        <f>AVERAGEIF(Sheet1!$H:$H,Planilha1!B308,Sheet1!X:X)</f>
        <v>1.2456800174788731</v>
      </c>
      <c r="D308">
        <f>COUNTIF(Sheet1!H:H,Planilha1!B308)</f>
        <v>2</v>
      </c>
      <c r="E308" s="3">
        <f>SUMIF(Sheet1!$H:$H,Planilha1!$B308,Sheet1!C:C)</f>
        <v>22</v>
      </c>
      <c r="F308" s="3">
        <f>SUMIF(Sheet1!$H:$H,Planilha1!$B308,Sheet1!O:O)</f>
        <v>17.812210542149842</v>
      </c>
      <c r="G308" s="3">
        <f>E308/F308</f>
        <v>1.2351077901274747</v>
      </c>
      <c r="H308" s="4">
        <f>E308/D308</f>
        <v>11</v>
      </c>
    </row>
    <row r="309" spans="2:8" x14ac:dyDescent="0.25">
      <c r="B309" t="str">
        <v>Lucas Ocampos</v>
      </c>
      <c r="C309" s="3">
        <f>AVERAGEIF(Sheet1!$H:$H,Planilha1!B309,Sheet1!X:X)</f>
        <v>1.1294797475798479</v>
      </c>
      <c r="D309">
        <f>COUNTIF(Sheet1!H:H,Planilha1!B309)</f>
        <v>1</v>
      </c>
      <c r="E309" s="3">
        <f>SUMIF(Sheet1!$H:$H,Planilha1!$B309,Sheet1!C:C)</f>
        <v>14</v>
      </c>
      <c r="F309" s="3">
        <f>SUMIF(Sheet1!$H:$H,Planilha1!$B309,Sheet1!O:O)</f>
        <v>12.39508723374456</v>
      </c>
      <c r="G309" s="3">
        <f>E309/F309</f>
        <v>1.1294797475798479</v>
      </c>
      <c r="H309" s="4">
        <f>E309/D309</f>
        <v>14</v>
      </c>
    </row>
    <row r="310" spans="2:8" x14ac:dyDescent="0.25">
      <c r="B310" t="str">
        <v>Lucas Pérez</v>
      </c>
      <c r="C310" s="3">
        <f>AVERAGEIF(Sheet1!$H:$H,Planilha1!B310,Sheet1!X:X)</f>
        <v>1.0380915900314678</v>
      </c>
      <c r="D310">
        <f>COUNTIF(Sheet1!H:H,Planilha1!B310)</f>
        <v>2</v>
      </c>
      <c r="E310" s="3">
        <f>SUMIF(Sheet1!$H:$H,Planilha1!$B310,Sheet1!C:C)</f>
        <v>28</v>
      </c>
      <c r="F310" s="3">
        <f>SUMIF(Sheet1!$H:$H,Planilha1!$B310,Sheet1!O:O)</f>
        <v>27.998604032676667</v>
      </c>
      <c r="G310" s="3">
        <f>E310/F310</f>
        <v>1.0000498584615756</v>
      </c>
      <c r="H310" s="4">
        <f>E310/D310</f>
        <v>14</v>
      </c>
    </row>
    <row r="311" spans="2:8" x14ac:dyDescent="0.25">
      <c r="B311" t="str">
        <v>Lucas Stassin</v>
      </c>
      <c r="C311" s="3">
        <f>AVERAGEIF(Sheet1!$H:$H,Planilha1!B311,Sheet1!X:X)</f>
        <v>1.427034411430256</v>
      </c>
      <c r="D311">
        <f>COUNTIF(Sheet1!H:H,Planilha1!B311)</f>
        <v>1</v>
      </c>
      <c r="E311" s="3">
        <f>SUMIF(Sheet1!$H:$H,Planilha1!$B311,Sheet1!C:C)</f>
        <v>12</v>
      </c>
      <c r="F311" s="3">
        <f>SUMIF(Sheet1!$H:$H,Planilha1!$B311,Sheet1!O:O)</f>
        <v>8.409047394990921</v>
      </c>
      <c r="G311" s="3">
        <f>E311/F311</f>
        <v>1.4270344114302564</v>
      </c>
      <c r="H311" s="4">
        <f>E311/D311</f>
        <v>12</v>
      </c>
    </row>
    <row r="312" spans="2:8" x14ac:dyDescent="0.25">
      <c r="B312" t="str">
        <v>Luciano Gondou</v>
      </c>
      <c r="C312" s="3">
        <f>AVERAGEIF(Sheet1!$H:$H,Planilha1!B312,Sheet1!X:X)</f>
        <v>1.6154039857751941</v>
      </c>
      <c r="D312">
        <f>COUNTIF(Sheet1!H:H,Planilha1!B312)</f>
        <v>1</v>
      </c>
      <c r="E312" s="3">
        <f>SUMIF(Sheet1!$H:$H,Planilha1!$B312,Sheet1!C:C)</f>
        <v>10</v>
      </c>
      <c r="F312" s="3">
        <f>SUMIF(Sheet1!$H:$H,Planilha1!$B312,Sheet1!O:O)</f>
        <v>6.1904019601643094</v>
      </c>
      <c r="G312" s="3">
        <f>E312/F312</f>
        <v>1.6154039857751941</v>
      </c>
      <c r="H312" s="4">
        <f>E312/D312</f>
        <v>10</v>
      </c>
    </row>
    <row r="313" spans="2:8" x14ac:dyDescent="0.25">
      <c r="B313" t="str">
        <v>Luciano Vietto</v>
      </c>
      <c r="C313" s="3">
        <f>AVERAGEIF(Sheet1!$H:$H,Planilha1!B313,Sheet1!X:X)</f>
        <v>1.0516758154931929</v>
      </c>
      <c r="D313">
        <f>COUNTIF(Sheet1!H:H,Planilha1!B313)</f>
        <v>1</v>
      </c>
      <c r="E313" s="3">
        <f>SUMIF(Sheet1!$H:$H,Planilha1!$B313,Sheet1!C:C)</f>
        <v>12</v>
      </c>
      <c r="F313" s="3">
        <f>SUMIF(Sheet1!$H:$H,Planilha1!$B313,Sheet1!O:O)</f>
        <v>11.41036032512784</v>
      </c>
      <c r="G313" s="3">
        <f>E313/F313</f>
        <v>1.0516758154931933</v>
      </c>
      <c r="H313" s="4">
        <f>E313/D313</f>
        <v>12</v>
      </c>
    </row>
    <row r="314" spans="2:8" x14ac:dyDescent="0.25">
      <c r="B314" t="str">
        <v>Ludovic Ajorque</v>
      </c>
      <c r="C314" s="3">
        <f>AVERAGEIF(Sheet1!$H:$H,Planilha1!B314,Sheet1!X:X)</f>
        <v>0.99930822678485942</v>
      </c>
      <c r="D314">
        <f>COUNTIF(Sheet1!H:H,Planilha1!B314)</f>
        <v>3</v>
      </c>
      <c r="E314" s="3">
        <f>SUMIF(Sheet1!$H:$H,Planilha1!$B314,Sheet1!C:C)</f>
        <v>41</v>
      </c>
      <c r="F314" s="3">
        <f>SUMIF(Sheet1!$H:$H,Planilha1!$B314,Sheet1!O:O)</f>
        <v>40.995057392865419</v>
      </c>
      <c r="G314" s="3">
        <f>E314/F314</f>
        <v>1.0001205659279169</v>
      </c>
      <c r="H314" s="4">
        <f>E314/D314</f>
        <v>13.666666666666666</v>
      </c>
    </row>
    <row r="315" spans="2:8" x14ac:dyDescent="0.25">
      <c r="B315" t="str">
        <v>Ludovic Blas</v>
      </c>
      <c r="C315" s="3">
        <f>AVERAGEIF(Sheet1!$H:$H,Planilha1!B315,Sheet1!X:X)</f>
        <v>1.0826689195837498</v>
      </c>
      <c r="D315">
        <f>COUNTIF(Sheet1!H:H,Planilha1!B315)</f>
        <v>2</v>
      </c>
      <c r="E315" s="3">
        <f>SUMIF(Sheet1!$H:$H,Planilha1!$B315,Sheet1!C:C)</f>
        <v>20</v>
      </c>
      <c r="F315" s="3">
        <f>SUMIF(Sheet1!$H:$H,Planilha1!$B315,Sheet1!O:O)</f>
        <v>19.030860601924363</v>
      </c>
      <c r="G315" s="3">
        <f>E315/F315</f>
        <v>1.0509246228190878</v>
      </c>
      <c r="H315" s="4">
        <f>E315/D315</f>
        <v>10</v>
      </c>
    </row>
    <row r="316" spans="2:8" x14ac:dyDescent="0.25">
      <c r="B316" t="str">
        <v>Luis Alberto</v>
      </c>
      <c r="C316" s="3">
        <f>AVERAGEIF(Sheet1!$H:$H,Planilha1!B316,Sheet1!X:X)</f>
        <v>1.483335729080848</v>
      </c>
      <c r="D316">
        <f>COUNTIF(Sheet1!H:H,Planilha1!B316)</f>
        <v>1</v>
      </c>
      <c r="E316" s="3">
        <f>SUMIF(Sheet1!$H:$H,Planilha1!$B316,Sheet1!C:C)</f>
        <v>11</v>
      </c>
      <c r="F316" s="3">
        <f>SUMIF(Sheet1!$H:$H,Planilha1!$B316,Sheet1!O:O)</f>
        <v>7.4157183598726988</v>
      </c>
      <c r="G316" s="3">
        <f>E316/F316</f>
        <v>1.483335729080848</v>
      </c>
      <c r="H316" s="4">
        <f>E316/D316</f>
        <v>11</v>
      </c>
    </row>
    <row r="317" spans="2:8" x14ac:dyDescent="0.25">
      <c r="B317" t="str">
        <v>Luis Díaz</v>
      </c>
      <c r="C317" s="3">
        <f>AVERAGEIF(Sheet1!$H:$H,Planilha1!B317,Sheet1!X:X)</f>
        <v>1.0520923414020431</v>
      </c>
      <c r="D317">
        <f>COUNTIF(Sheet1!H:H,Planilha1!B317)</f>
        <v>1</v>
      </c>
      <c r="E317" s="3">
        <f>SUMIF(Sheet1!$H:$H,Planilha1!$B317,Sheet1!C:C)</f>
        <v>13</v>
      </c>
      <c r="F317" s="3">
        <f>SUMIF(Sheet1!$H:$H,Planilha1!$B317,Sheet1!O:O)</f>
        <v>12.356329847127199</v>
      </c>
      <c r="G317" s="3">
        <f>E317/F317</f>
        <v>1.0520923414020427</v>
      </c>
      <c r="H317" s="4">
        <f>E317/D317</f>
        <v>13</v>
      </c>
    </row>
    <row r="318" spans="2:8" x14ac:dyDescent="0.25">
      <c r="B318" t="str">
        <v>Luis Muriel</v>
      </c>
      <c r="C318" s="3">
        <f>AVERAGEIF(Sheet1!$H:$H,Planilha1!B318,Sheet1!X:X)</f>
        <v>1.2947612885414166</v>
      </c>
      <c r="D318">
        <f>COUNTIF(Sheet1!H:H,Planilha1!B318)</f>
        <v>3</v>
      </c>
      <c r="E318" s="3">
        <f>SUMIF(Sheet1!$H:$H,Planilha1!$B318,Sheet1!C:C)</f>
        <v>51</v>
      </c>
      <c r="F318" s="3">
        <f>SUMIF(Sheet1!$H:$H,Planilha1!$B318,Sheet1!O:O)</f>
        <v>39.031978690996766</v>
      </c>
      <c r="G318" s="3">
        <f>E318/F318</f>
        <v>1.3066209223916136</v>
      </c>
      <c r="H318" s="4">
        <f>E318/D318</f>
        <v>17</v>
      </c>
    </row>
    <row r="319" spans="2:8" x14ac:dyDescent="0.25">
      <c r="B319" t="str">
        <v>Luis Suárez</v>
      </c>
      <c r="C319" s="3">
        <f>AVERAGEIF(Sheet1!$H:$H,Planilha1!B319,Sheet1!X:X)</f>
        <v>1.0819099750802565</v>
      </c>
      <c r="D319">
        <f>COUNTIF(Sheet1!H:H,Planilha1!B319)</f>
        <v>8</v>
      </c>
      <c r="E319" s="3">
        <f>SUMIF(Sheet1!$H:$H,Planilha1!$B319,Sheet1!C:C)</f>
        <v>179</v>
      </c>
      <c r="F319" s="3">
        <f>SUMIF(Sheet1!$H:$H,Planilha1!$B319,Sheet1!O:O)</f>
        <v>166.20822826772928</v>
      </c>
      <c r="G319" s="3">
        <f>E319/F319</f>
        <v>1.0769623253047715</v>
      </c>
      <c r="H319" s="4">
        <f>E319/D319</f>
        <v>22.375</v>
      </c>
    </row>
    <row r="320" spans="2:8" x14ac:dyDescent="0.25">
      <c r="B320" t="str">
        <v>Luiz Adriano</v>
      </c>
      <c r="C320" s="3">
        <f>AVERAGEIF(Sheet1!$H:$H,Planilha1!B320,Sheet1!X:X)</f>
        <v>0.94433281094323596</v>
      </c>
      <c r="D320">
        <f>COUNTIF(Sheet1!H:H,Planilha1!B320)</f>
        <v>1</v>
      </c>
      <c r="E320" s="3">
        <f>SUMIF(Sheet1!$H:$H,Planilha1!$B320,Sheet1!C:C)</f>
        <v>10</v>
      </c>
      <c r="F320" s="3">
        <f>SUMIF(Sheet1!$H:$H,Planilha1!$B320,Sheet1!O:O)</f>
        <v>10.589486973360181</v>
      </c>
      <c r="G320" s="3">
        <f>E320/F320</f>
        <v>0.94433281094323596</v>
      </c>
      <c r="H320" s="4">
        <f>E320/D320</f>
        <v>10</v>
      </c>
    </row>
    <row r="321" spans="2:8" x14ac:dyDescent="0.25">
      <c r="B321" t="str">
        <v>Luka Jovic</v>
      </c>
      <c r="C321" s="3">
        <f>AVERAGEIF(Sheet1!$H:$H,Planilha1!B321,Sheet1!X:X)</f>
        <v>1.0382241768637941</v>
      </c>
      <c r="D321">
        <f>COUNTIF(Sheet1!H:H,Planilha1!B321)</f>
        <v>1</v>
      </c>
      <c r="E321" s="3">
        <f>SUMIF(Sheet1!$H:$H,Planilha1!$B321,Sheet1!C:C)</f>
        <v>17</v>
      </c>
      <c r="F321" s="3">
        <f>SUMIF(Sheet1!$H:$H,Planilha1!$B321,Sheet1!O:O)</f>
        <v>16.37411300837994</v>
      </c>
      <c r="G321" s="3">
        <f>E321/F321</f>
        <v>1.0382241768637936</v>
      </c>
      <c r="H321" s="4">
        <f>E321/D321</f>
        <v>17</v>
      </c>
    </row>
    <row r="322" spans="2:8" x14ac:dyDescent="0.25">
      <c r="B322" t="str">
        <v>M&amp;#039;Bala Nzola</v>
      </c>
      <c r="C322" s="3">
        <f>AVERAGEIF(Sheet1!$H:$H,Planilha1!B322,Sheet1!X:X)</f>
        <v>1.1079108767301666</v>
      </c>
      <c r="D322">
        <f>COUNTIF(Sheet1!H:H,Planilha1!B322)</f>
        <v>2</v>
      </c>
      <c r="E322" s="3">
        <f>SUMIF(Sheet1!$H:$H,Planilha1!$B322,Sheet1!C:C)</f>
        <v>24</v>
      </c>
      <c r="F322" s="3">
        <f>SUMIF(Sheet1!$H:$H,Planilha1!$B322,Sheet1!O:O)</f>
        <v>21.844157774001363</v>
      </c>
      <c r="G322" s="3">
        <f>E322/F322</f>
        <v>1.0986919362285734</v>
      </c>
      <c r="H322" s="4">
        <f>E322/D322</f>
        <v>12</v>
      </c>
    </row>
    <row r="323" spans="2:8" x14ac:dyDescent="0.25">
      <c r="B323" t="str">
        <v>M&amp;#039;Baye Niang</v>
      </c>
      <c r="C323" s="3">
        <f>AVERAGEIF(Sheet1!$H:$H,Planilha1!B323,Sheet1!X:X)</f>
        <v>1.2610004081038899</v>
      </c>
      <c r="D323">
        <f>COUNTIF(Sheet1!H:H,Planilha1!B323)</f>
        <v>1</v>
      </c>
      <c r="E323" s="3">
        <f>SUMIF(Sheet1!$H:$H,Planilha1!$B323,Sheet1!C:C)</f>
        <v>11</v>
      </c>
      <c r="F323" s="3">
        <f>SUMIF(Sheet1!$H:$H,Planilha1!$B323,Sheet1!O:O)</f>
        <v>8.7232327042147517</v>
      </c>
      <c r="G323" s="3">
        <f>E323/F323</f>
        <v>1.2610004081038897</v>
      </c>
      <c r="H323" s="4">
        <f>E323/D323</f>
        <v>11</v>
      </c>
    </row>
    <row r="324" spans="2:8" x14ac:dyDescent="0.25">
      <c r="B324" t="str">
        <v>Majeed Waris</v>
      </c>
      <c r="C324" s="3">
        <f>AVERAGEIF(Sheet1!$H:$H,Planilha1!B324,Sheet1!X:X)</f>
        <v>1.1705539928409581</v>
      </c>
      <c r="D324">
        <f>COUNTIF(Sheet1!H:H,Planilha1!B324)</f>
        <v>1</v>
      </c>
      <c r="E324" s="3">
        <f>SUMIF(Sheet1!$H:$H,Planilha1!$B324,Sheet1!C:C)</f>
        <v>11</v>
      </c>
      <c r="F324" s="3">
        <f>SUMIF(Sheet1!$H:$H,Planilha1!$B324,Sheet1!O:O)</f>
        <v>9.3972598165273684</v>
      </c>
      <c r="G324" s="3">
        <f>E324/F324</f>
        <v>1.1705539928409581</v>
      </c>
      <c r="H324" s="4">
        <f>E324/D324</f>
        <v>11</v>
      </c>
    </row>
    <row r="325" spans="2:8" x14ac:dyDescent="0.25">
      <c r="B325" t="str">
        <v>Maksim Glushenkov</v>
      </c>
      <c r="C325" s="3">
        <f>AVERAGEIF(Sheet1!$H:$H,Planilha1!B325,Sheet1!X:X)</f>
        <v>0.90602788190029093</v>
      </c>
      <c r="D325">
        <f>COUNTIF(Sheet1!H:H,Planilha1!B325)</f>
        <v>1</v>
      </c>
      <c r="E325" s="3">
        <f>SUMIF(Sheet1!$H:$H,Planilha1!$B325,Sheet1!C:C)</f>
        <v>10</v>
      </c>
      <c r="F325" s="3">
        <f>SUMIF(Sheet1!$H:$H,Planilha1!$B325,Sheet1!O:O)</f>
        <v>11.037187927402559</v>
      </c>
      <c r="G325" s="3">
        <f>E325/F325</f>
        <v>0.90602788190029071</v>
      </c>
      <c r="H325" s="4">
        <f>E325/D325</f>
        <v>10</v>
      </c>
    </row>
    <row r="326" spans="2:8" x14ac:dyDescent="0.25">
      <c r="B326" t="str">
        <v>Malcom</v>
      </c>
      <c r="C326" s="3">
        <f>AVERAGEIF(Sheet1!$H:$H,Planilha1!B326,Sheet1!X:X)</f>
        <v>1.4754064992518685</v>
      </c>
      <c r="D326">
        <f>COUNTIF(Sheet1!H:H,Planilha1!B326)</f>
        <v>2</v>
      </c>
      <c r="E326" s="3">
        <f>SUMIF(Sheet1!$H:$H,Planilha1!$B326,Sheet1!C:C)</f>
        <v>35</v>
      </c>
      <c r="F326" s="3">
        <f>SUMIF(Sheet1!$H:$H,Planilha1!$B326,Sheet1!O:O)</f>
        <v>23.326706619933248</v>
      </c>
      <c r="G326" s="3">
        <f>E326/F326</f>
        <v>1.5004261240243677</v>
      </c>
      <c r="H326" s="4">
        <f>E326/D326</f>
        <v>17.5</v>
      </c>
    </row>
    <row r="327" spans="2:8" x14ac:dyDescent="0.25">
      <c r="B327" t="str">
        <v>Mama Baldé</v>
      </c>
      <c r="C327" s="3">
        <f>AVERAGEIF(Sheet1!$H:$H,Planilha1!B327,Sheet1!X:X)</f>
        <v>1.133834077098689</v>
      </c>
      <c r="D327">
        <f>COUNTIF(Sheet1!H:H,Planilha1!B327)</f>
        <v>1</v>
      </c>
      <c r="E327" s="3">
        <f>SUMIF(Sheet1!$H:$H,Planilha1!$B327,Sheet1!C:C)</f>
        <v>12</v>
      </c>
      <c r="F327" s="3">
        <f>SUMIF(Sheet1!$H:$H,Planilha1!$B327,Sheet1!O:O)</f>
        <v>10.58355913124978</v>
      </c>
      <c r="G327" s="3">
        <f>E327/F327</f>
        <v>1.1338340770986892</v>
      </c>
      <c r="H327" s="4">
        <f>E327/D327</f>
        <v>12</v>
      </c>
    </row>
    <row r="328" spans="2:8" x14ac:dyDescent="0.25">
      <c r="B328" t="str">
        <v>Mame Biram Diouf</v>
      </c>
      <c r="C328" s="3">
        <f>AVERAGEIF(Sheet1!$H:$H,Planilha1!B328,Sheet1!X:X)</f>
        <v>0.94445178293321175</v>
      </c>
      <c r="D328">
        <f>COUNTIF(Sheet1!H:H,Planilha1!B328)</f>
        <v>1</v>
      </c>
      <c r="E328" s="3">
        <f>SUMIF(Sheet1!$H:$H,Planilha1!$B328,Sheet1!C:C)</f>
        <v>11</v>
      </c>
      <c r="F328" s="3">
        <f>SUMIF(Sheet1!$H:$H,Planilha1!$B328,Sheet1!O:O)</f>
        <v>11.6469683246687</v>
      </c>
      <c r="G328" s="3">
        <f>E328/F328</f>
        <v>0.94445178293321208</v>
      </c>
      <c r="H328" s="4">
        <f>E328/D328</f>
        <v>11</v>
      </c>
    </row>
    <row r="329" spans="2:8" x14ac:dyDescent="0.25">
      <c r="B329" t="str">
        <v>Manfred Ugalde</v>
      </c>
      <c r="C329" s="3">
        <f>AVERAGEIF(Sheet1!$H:$H,Planilha1!B329,Sheet1!X:X)</f>
        <v>1.4462532309137139</v>
      </c>
      <c r="D329">
        <f>COUNTIF(Sheet1!H:H,Planilha1!B329)</f>
        <v>1</v>
      </c>
      <c r="E329" s="3">
        <f>SUMIF(Sheet1!$H:$H,Planilha1!$B329,Sheet1!C:C)</f>
        <v>17</v>
      </c>
      <c r="F329" s="3">
        <f>SUMIF(Sheet1!$H:$H,Planilha1!$B329,Sheet1!O:O)</f>
        <v>11.75451133772731</v>
      </c>
      <c r="G329" s="3">
        <f>E329/F329</f>
        <v>1.4462532309137137</v>
      </c>
      <c r="H329" s="4">
        <f>E329/D329</f>
        <v>17</v>
      </c>
    </row>
    <row r="330" spans="2:8" x14ac:dyDescent="0.25">
      <c r="B330" t="str">
        <v>Manolo Gabbiadini</v>
      </c>
      <c r="C330" s="3">
        <f>AVERAGEIF(Sheet1!$H:$H,Planilha1!B330,Sheet1!X:X)</f>
        <v>1.8023432593493105</v>
      </c>
      <c r="D330">
        <f>COUNTIF(Sheet1!H:H,Planilha1!B330)</f>
        <v>2</v>
      </c>
      <c r="E330" s="3">
        <f>SUMIF(Sheet1!$H:$H,Planilha1!$B330,Sheet1!C:C)</f>
        <v>26</v>
      </c>
      <c r="F330" s="3">
        <f>SUMIF(Sheet1!$H:$H,Planilha1!$B330,Sheet1!O:O)</f>
        <v>14.663413507863879</v>
      </c>
      <c r="G330" s="3">
        <f>E330/F330</f>
        <v>1.7731205620066839</v>
      </c>
      <c r="H330" s="4">
        <f>E330/D330</f>
        <v>13</v>
      </c>
    </row>
    <row r="331" spans="2:8" x14ac:dyDescent="0.25">
      <c r="B331" t="str">
        <v>Marco Asensio</v>
      </c>
      <c r="C331" s="3">
        <f>AVERAGEIF(Sheet1!$H:$H,Planilha1!B331,Sheet1!X:X)</f>
        <v>1.294951272757461</v>
      </c>
      <c r="D331">
        <f>COUNTIF(Sheet1!H:H,Planilha1!B331)</f>
        <v>1</v>
      </c>
      <c r="E331" s="3">
        <f>SUMIF(Sheet1!$H:$H,Planilha1!$B331,Sheet1!C:C)</f>
        <v>10</v>
      </c>
      <c r="F331" s="3">
        <f>SUMIF(Sheet1!$H:$H,Planilha1!$B331,Sheet1!O:O)</f>
        <v>7.7222982905805111</v>
      </c>
      <c r="G331" s="3">
        <f>E331/F331</f>
        <v>1.2949512727574612</v>
      </c>
      <c r="H331" s="4">
        <f>E331/D331</f>
        <v>10</v>
      </c>
    </row>
    <row r="332" spans="2:8" x14ac:dyDescent="0.25">
      <c r="B332" t="str">
        <v>Marco Borriello</v>
      </c>
      <c r="C332" s="3">
        <f>AVERAGEIF(Sheet1!$H:$H,Planilha1!B332,Sheet1!X:X)</f>
        <v>1.8428441155632549</v>
      </c>
      <c r="D332">
        <f>COUNTIF(Sheet1!H:H,Planilha1!B332)</f>
        <v>1</v>
      </c>
      <c r="E332" s="3">
        <f>SUMIF(Sheet1!$H:$H,Planilha1!$B332,Sheet1!C:C)</f>
        <v>16</v>
      </c>
      <c r="F332" s="3">
        <f>SUMIF(Sheet1!$H:$H,Planilha1!$B332,Sheet1!O:O)</f>
        <v>8.6822319179773331</v>
      </c>
      <c r="G332" s="3">
        <f>E332/F332</f>
        <v>1.8428441155632549</v>
      </c>
      <c r="H332" s="4">
        <f>E332/D332</f>
        <v>16</v>
      </c>
    </row>
    <row r="333" spans="2:8" x14ac:dyDescent="0.25">
      <c r="B333" t="str">
        <v>Marco Mancosu</v>
      </c>
      <c r="C333" s="3">
        <f>AVERAGEIF(Sheet1!$H:$H,Planilha1!B333,Sheet1!X:X)</f>
        <v>0.90203510519278518</v>
      </c>
      <c r="D333">
        <f>COUNTIF(Sheet1!H:H,Planilha1!B333)</f>
        <v>1</v>
      </c>
      <c r="E333" s="3">
        <f>SUMIF(Sheet1!$H:$H,Planilha1!$B333,Sheet1!C:C)</f>
        <v>14</v>
      </c>
      <c r="F333" s="3">
        <f>SUMIF(Sheet1!$H:$H,Planilha1!$B333,Sheet1!O:O)</f>
        <v>15.520460256375371</v>
      </c>
      <c r="G333" s="3">
        <f>E333/F333</f>
        <v>0.90203510519278529</v>
      </c>
      <c r="H333" s="4">
        <f>E333/D333</f>
        <v>14</v>
      </c>
    </row>
    <row r="334" spans="2:8" x14ac:dyDescent="0.25">
      <c r="B334" t="str">
        <v>Marco Reus</v>
      </c>
      <c r="C334" s="3">
        <f>AVERAGEIF(Sheet1!$H:$H,Planilha1!B334,Sheet1!X:X)</f>
        <v>1.0861357319766254</v>
      </c>
      <c r="D334">
        <f>COUNTIF(Sheet1!H:H,Planilha1!B334)</f>
        <v>3</v>
      </c>
      <c r="E334" s="3">
        <f>SUMIF(Sheet1!$H:$H,Planilha1!$B334,Sheet1!C:C)</f>
        <v>40</v>
      </c>
      <c r="F334" s="3">
        <f>SUMIF(Sheet1!$H:$H,Planilha1!$B334,Sheet1!O:O)</f>
        <v>37.410860626026988</v>
      </c>
      <c r="G334" s="3">
        <f>E334/F334</f>
        <v>1.0692082280558852</v>
      </c>
      <c r="H334" s="4">
        <f>E334/D334</f>
        <v>13.333333333333334</v>
      </c>
    </row>
    <row r="335" spans="2:8" x14ac:dyDescent="0.25">
      <c r="B335" t="str">
        <v>Marcus Ingvartsen</v>
      </c>
      <c r="C335" s="3">
        <f>AVERAGEIF(Sheet1!$H:$H,Planilha1!B335,Sheet1!X:X)</f>
        <v>1.065935558777213</v>
      </c>
      <c r="D335">
        <f>COUNTIF(Sheet1!H:H,Planilha1!B335)</f>
        <v>1</v>
      </c>
      <c r="E335" s="3">
        <f>SUMIF(Sheet1!$H:$H,Planilha1!$B335,Sheet1!C:C)</f>
        <v>10</v>
      </c>
      <c r="F335" s="3">
        <f>SUMIF(Sheet1!$H:$H,Planilha1!$B335,Sheet1!O:O)</f>
        <v>9.38143016025424</v>
      </c>
      <c r="G335" s="3">
        <f>E335/F335</f>
        <v>1.0659355587772128</v>
      </c>
      <c r="H335" s="4">
        <f>E335/D335</f>
        <v>10</v>
      </c>
    </row>
    <row r="336" spans="2:8" x14ac:dyDescent="0.25">
      <c r="B336" t="str">
        <v>Marcus Rashford</v>
      </c>
      <c r="C336" s="3">
        <f>AVERAGEIF(Sheet1!$H:$H,Planilha1!B336,Sheet1!X:X)</f>
        <v>0.94674565396382626</v>
      </c>
      <c r="D336">
        <f>COUNTIF(Sheet1!H:H,Planilha1!B336)</f>
        <v>4</v>
      </c>
      <c r="E336" s="3">
        <f>SUMIF(Sheet1!$H:$H,Planilha1!$B336,Sheet1!C:C)</f>
        <v>55</v>
      </c>
      <c r="F336" s="3">
        <f>SUMIF(Sheet1!$H:$H,Planilha1!$B336,Sheet1!O:O)</f>
        <v>59.459657471626983</v>
      </c>
      <c r="G336" s="3">
        <f>E336/F336</f>
        <v>0.92499691957097052</v>
      </c>
      <c r="H336" s="4">
        <f>E336/D336</f>
        <v>13.75</v>
      </c>
    </row>
    <row r="337" spans="2:8" x14ac:dyDescent="0.25">
      <c r="B337" t="str">
        <v>Marcus Thuram</v>
      </c>
      <c r="C337" s="3">
        <f>AVERAGEIF(Sheet1!$H:$H,Planilha1!B337,Sheet1!X:X)</f>
        <v>0.91673279559899279</v>
      </c>
      <c r="D337">
        <f>COUNTIF(Sheet1!H:H,Planilha1!B337)</f>
        <v>4</v>
      </c>
      <c r="E337" s="3">
        <f>SUMIF(Sheet1!$H:$H,Planilha1!$B337,Sheet1!C:C)</f>
        <v>50</v>
      </c>
      <c r="F337" s="3">
        <f>SUMIF(Sheet1!$H:$H,Planilha1!$B337,Sheet1!O:O)</f>
        <v>55.589645555242896</v>
      </c>
      <c r="G337" s="3">
        <f>E337/F337</f>
        <v>0.89944808067379889</v>
      </c>
      <c r="H337" s="4">
        <f>E337/D337</f>
        <v>12.5</v>
      </c>
    </row>
    <row r="338" spans="2:8" x14ac:dyDescent="0.25">
      <c r="B338" t="str">
        <v>Mariano</v>
      </c>
      <c r="C338" s="3">
        <f>AVERAGEIF(Sheet1!$H:$H,Planilha1!B338,Sheet1!X:X)</f>
        <v>1.333953942136815</v>
      </c>
      <c r="D338">
        <f>COUNTIF(Sheet1!H:H,Planilha1!B338)</f>
        <v>1</v>
      </c>
      <c r="E338" s="3">
        <f>SUMIF(Sheet1!$H:$H,Planilha1!$B338,Sheet1!C:C)</f>
        <v>18</v>
      </c>
      <c r="F338" s="3">
        <f>SUMIF(Sheet1!$H:$H,Planilha1!$B338,Sheet1!O:O)</f>
        <v>13.49371925927699</v>
      </c>
      <c r="G338" s="3">
        <f>E338/F338</f>
        <v>1.3339539421368147</v>
      </c>
      <c r="H338" s="4">
        <f>E338/D338</f>
        <v>18</v>
      </c>
    </row>
    <row r="339" spans="2:8" x14ac:dyDescent="0.25">
      <c r="B339" t="str">
        <v>Mario Balotelli</v>
      </c>
      <c r="C339" s="3">
        <f>AVERAGEIF(Sheet1!$H:$H,Planilha1!B339,Sheet1!X:X)</f>
        <v>1.232469978332223</v>
      </c>
      <c r="D339">
        <f>COUNTIF(Sheet1!H:H,Planilha1!B339)</f>
        <v>2</v>
      </c>
      <c r="E339" s="3">
        <f>SUMIF(Sheet1!$H:$H,Planilha1!$B339,Sheet1!C:C)</f>
        <v>33</v>
      </c>
      <c r="F339" s="3">
        <f>SUMIF(Sheet1!$H:$H,Planilha1!$B339,Sheet1!O:O)</f>
        <v>26.83682999573648</v>
      </c>
      <c r="G339" s="3">
        <f>E339/F339</f>
        <v>1.2296534279660696</v>
      </c>
      <c r="H339" s="4">
        <f>E339/D339</f>
        <v>16.5</v>
      </c>
    </row>
    <row r="340" spans="2:8" x14ac:dyDescent="0.25">
      <c r="B340" t="str">
        <v>Mario Gomez</v>
      </c>
      <c r="C340" s="3">
        <f>AVERAGEIF(Sheet1!$H:$H,Planilha1!B340,Sheet1!X:X)</f>
        <v>0.91453921182364306</v>
      </c>
      <c r="D340">
        <f>COUNTIF(Sheet1!H:H,Planilha1!B340)</f>
        <v>1</v>
      </c>
      <c r="E340" s="3">
        <f>SUMIF(Sheet1!$H:$H,Planilha1!$B340,Sheet1!C:C)</f>
        <v>16</v>
      </c>
      <c r="F340" s="3">
        <f>SUMIF(Sheet1!$H:$H,Planilha1!$B340,Sheet1!O:O)</f>
        <v>17.495149243623018</v>
      </c>
      <c r="G340" s="3">
        <f>E340/F340</f>
        <v>0.91453921182364306</v>
      </c>
      <c r="H340" s="4">
        <f>E340/D340</f>
        <v>16</v>
      </c>
    </row>
    <row r="341" spans="2:8" x14ac:dyDescent="0.25">
      <c r="B341" t="str">
        <v>Mario Mandzukic</v>
      </c>
      <c r="C341" s="3">
        <f>AVERAGEIF(Sheet1!$H:$H,Planilha1!B341,Sheet1!X:X)</f>
        <v>1.0856426195242255</v>
      </c>
      <c r="D341">
        <f>COUNTIF(Sheet1!H:H,Planilha1!B341)</f>
        <v>2</v>
      </c>
      <c r="E341" s="3">
        <f>SUMIF(Sheet1!$H:$H,Planilha1!$B341,Sheet1!C:C)</f>
        <v>22</v>
      </c>
      <c r="F341" s="3">
        <f>SUMIF(Sheet1!$H:$H,Planilha1!$B341,Sheet1!O:O)</f>
        <v>20.502534965053194</v>
      </c>
      <c r="G341" s="3">
        <f>E341/F341</f>
        <v>1.0730380432224236</v>
      </c>
      <c r="H341" s="4">
        <f>E341/D341</f>
        <v>11</v>
      </c>
    </row>
    <row r="342" spans="2:8" x14ac:dyDescent="0.25">
      <c r="B342" t="str">
        <v>Mario Pasalic</v>
      </c>
      <c r="C342" s="3">
        <f>AVERAGEIF(Sheet1!$H:$H,Planilha1!B342,Sheet1!X:X)</f>
        <v>1.298084979854605</v>
      </c>
      <c r="D342">
        <f>COUNTIF(Sheet1!H:H,Planilha1!B342)</f>
        <v>1</v>
      </c>
      <c r="E342" s="3">
        <f>SUMIF(Sheet1!$H:$H,Planilha1!$B342,Sheet1!C:C)</f>
        <v>13</v>
      </c>
      <c r="F342" s="3">
        <f>SUMIF(Sheet1!$H:$H,Planilha1!$B342,Sheet1!O:O)</f>
        <v>10.01475265622139</v>
      </c>
      <c r="G342" s="3">
        <f>E342/F342</f>
        <v>1.2980849798546055</v>
      </c>
      <c r="H342" s="4">
        <f>E342/D342</f>
        <v>13</v>
      </c>
    </row>
    <row r="343" spans="2:8" x14ac:dyDescent="0.25">
      <c r="B343" t="str">
        <v>Marius Bülter</v>
      </c>
      <c r="C343" s="3">
        <f>AVERAGEIF(Sheet1!$H:$H,Planilha1!B343,Sheet1!X:X)</f>
        <v>1.2223865094372219</v>
      </c>
      <c r="D343">
        <f>COUNTIF(Sheet1!H:H,Planilha1!B343)</f>
        <v>1</v>
      </c>
      <c r="E343" s="3">
        <f>SUMIF(Sheet1!$H:$H,Planilha1!$B343,Sheet1!C:C)</f>
        <v>11</v>
      </c>
      <c r="F343" s="3">
        <f>SUMIF(Sheet1!$H:$H,Planilha1!$B343,Sheet1!O:O)</f>
        <v>8.9987904112786055</v>
      </c>
      <c r="G343" s="3">
        <f>E343/F343</f>
        <v>1.2223865094372222</v>
      </c>
      <c r="H343" s="4">
        <f>E343/D343</f>
        <v>11</v>
      </c>
    </row>
    <row r="344" spans="2:8" x14ac:dyDescent="0.25">
      <c r="B344" t="str">
        <v>Marko Arnautovic</v>
      </c>
      <c r="C344" s="3">
        <f>AVERAGEIF(Sheet1!$H:$H,Planilha1!B344,Sheet1!X:X)</f>
        <v>1.0563058934177101</v>
      </c>
      <c r="D344">
        <f>COUNTIF(Sheet1!H:H,Planilha1!B344)</f>
        <v>5</v>
      </c>
      <c r="E344" s="3">
        <f>SUMIF(Sheet1!$H:$H,Planilha1!$B344,Sheet1!C:C)</f>
        <v>56</v>
      </c>
      <c r="F344" s="3">
        <f>SUMIF(Sheet1!$H:$H,Planilha1!$B344,Sheet1!O:O)</f>
        <v>54.613593574613333</v>
      </c>
      <c r="G344" s="3">
        <f>E344/F344</f>
        <v>1.0253857388727323</v>
      </c>
      <c r="H344" s="4">
        <f>E344/D344</f>
        <v>11.2</v>
      </c>
    </row>
    <row r="345" spans="2:8" x14ac:dyDescent="0.25">
      <c r="B345" t="str">
        <v>Martin Braithwaite</v>
      </c>
      <c r="C345" s="3">
        <f>AVERAGEIF(Sheet1!$H:$H,Planilha1!B345,Sheet1!X:X)</f>
        <v>0.78529643565347085</v>
      </c>
      <c r="D345">
        <f>COUNTIF(Sheet1!H:H,Planilha1!B345)</f>
        <v>3</v>
      </c>
      <c r="E345" s="3">
        <f>SUMIF(Sheet1!$H:$H,Planilha1!$B345,Sheet1!C:C)</f>
        <v>32</v>
      </c>
      <c r="F345" s="3">
        <f>SUMIF(Sheet1!$H:$H,Planilha1!$B345,Sheet1!O:O)</f>
        <v>41.29869157448411</v>
      </c>
      <c r="G345" s="3">
        <f>E345/F345</f>
        <v>0.77484294974058709</v>
      </c>
      <c r="H345" s="4">
        <f>E345/D345</f>
        <v>10.666666666666666</v>
      </c>
    </row>
    <row r="346" spans="2:8" x14ac:dyDescent="0.25">
      <c r="B346" t="str">
        <v>Martin Terrier</v>
      </c>
      <c r="C346" s="3">
        <f>AVERAGEIF(Sheet1!$H:$H,Planilha1!B346,Sheet1!X:X)</f>
        <v>1.394332889337383</v>
      </c>
      <c r="D346">
        <f>COUNTIF(Sheet1!H:H,Planilha1!B346)</f>
        <v>1</v>
      </c>
      <c r="E346" s="3">
        <f>SUMIF(Sheet1!$H:$H,Planilha1!$B346,Sheet1!C:C)</f>
        <v>21</v>
      </c>
      <c r="F346" s="3">
        <f>SUMIF(Sheet1!$H:$H,Planilha1!$B346,Sheet1!O:O)</f>
        <v>15.060965828597549</v>
      </c>
      <c r="G346" s="3">
        <f>E346/F346</f>
        <v>1.3943328893373821</v>
      </c>
      <c r="H346" s="4">
        <f>E346/D346</f>
        <v>21</v>
      </c>
    </row>
    <row r="347" spans="2:8" x14ac:dyDescent="0.25">
      <c r="B347" t="str">
        <v>Marvin Ducksch</v>
      </c>
      <c r="C347" s="3">
        <f>AVERAGEIF(Sheet1!$H:$H,Planilha1!B347,Sheet1!X:X)</f>
        <v>1.029517564134085</v>
      </c>
      <c r="D347">
        <f>COUNTIF(Sheet1!H:H,Planilha1!B347)</f>
        <v>2</v>
      </c>
      <c r="E347" s="3">
        <f>SUMIF(Sheet1!$H:$H,Planilha1!$B347,Sheet1!C:C)</f>
        <v>24</v>
      </c>
      <c r="F347" s="3">
        <f>SUMIF(Sheet1!$H:$H,Planilha1!$B347,Sheet1!O:O)</f>
        <v>23.427568040788181</v>
      </c>
      <c r="G347" s="3">
        <f>E347/F347</f>
        <v>1.0244341178826242</v>
      </c>
      <c r="H347" s="4">
        <f>E347/D347</f>
        <v>12</v>
      </c>
    </row>
    <row r="348" spans="2:8" x14ac:dyDescent="0.25">
      <c r="B348" t="str">
        <v>Mason Greenwood</v>
      </c>
      <c r="C348" s="3">
        <f>AVERAGEIF(Sheet1!$H:$H,Planilha1!B348,Sheet1!X:X)</f>
        <v>2.0463168562909391</v>
      </c>
      <c r="D348">
        <f>COUNTIF(Sheet1!H:H,Planilha1!B348)</f>
        <v>2</v>
      </c>
      <c r="E348" s="3">
        <f>SUMIF(Sheet1!$H:$H,Planilha1!$B348,Sheet1!C:C)</f>
        <v>32</v>
      </c>
      <c r="F348" s="3">
        <f>SUMIF(Sheet1!$H:$H,Planilha1!$B348,Sheet1!O:O)</f>
        <v>22.67062379419804</v>
      </c>
      <c r="G348" s="3">
        <f>E348/F348</f>
        <v>1.4115182842119047</v>
      </c>
      <c r="H348" s="4">
        <f>E348/D348</f>
        <v>16</v>
      </c>
    </row>
    <row r="349" spans="2:8" x14ac:dyDescent="0.25">
      <c r="B349" t="str">
        <v>Mason Mount</v>
      </c>
      <c r="C349" s="3">
        <f>AVERAGEIF(Sheet1!$H:$H,Planilha1!B349,Sheet1!X:X)</f>
        <v>1.2907116400193619</v>
      </c>
      <c r="D349">
        <f>COUNTIF(Sheet1!H:H,Planilha1!B349)</f>
        <v>1</v>
      </c>
      <c r="E349" s="3">
        <f>SUMIF(Sheet1!$H:$H,Planilha1!$B349,Sheet1!C:C)</f>
        <v>11</v>
      </c>
      <c r="F349" s="3">
        <f>SUMIF(Sheet1!$H:$H,Planilha1!$B349,Sheet1!O:O)</f>
        <v>8.522430308163166</v>
      </c>
      <c r="G349" s="3">
        <f>E349/F349</f>
        <v>1.2907116400193623</v>
      </c>
      <c r="H349" s="4">
        <f>E349/D349</f>
        <v>11</v>
      </c>
    </row>
    <row r="350" spans="2:8" x14ac:dyDescent="0.25">
      <c r="B350" t="str">
        <v>Massimo Maccarone</v>
      </c>
      <c r="C350" s="3">
        <f>AVERAGEIF(Sheet1!$H:$H,Planilha1!B350,Sheet1!X:X)</f>
        <v>1.2082100099246975</v>
      </c>
      <c r="D350">
        <f>COUNTIF(Sheet1!H:H,Planilha1!B350)</f>
        <v>2</v>
      </c>
      <c r="E350" s="3">
        <f>SUMIF(Sheet1!$H:$H,Planilha1!$B350,Sheet1!C:C)</f>
        <v>23</v>
      </c>
      <c r="F350" s="3">
        <f>SUMIF(Sheet1!$H:$H,Planilha1!$B350,Sheet1!O:O)</f>
        <v>18.958047163672745</v>
      </c>
      <c r="G350" s="3">
        <f>E350/F350</f>
        <v>1.213205126109846</v>
      </c>
      <c r="H350" s="4">
        <f>E350/D350</f>
        <v>11.5</v>
      </c>
    </row>
    <row r="351" spans="2:8" x14ac:dyDescent="0.25">
      <c r="B351" t="str">
        <v>Mateo Cassierra</v>
      </c>
      <c r="C351" s="3">
        <f>AVERAGEIF(Sheet1!$H:$H,Planilha1!B351,Sheet1!X:X)</f>
        <v>1.2691497320565794</v>
      </c>
      <c r="D351">
        <f>COUNTIF(Sheet1!H:H,Planilha1!B351)</f>
        <v>2</v>
      </c>
      <c r="E351" s="3">
        <f>SUMIF(Sheet1!$H:$H,Planilha1!$B351,Sheet1!C:C)</f>
        <v>35</v>
      </c>
      <c r="F351" s="3">
        <f>SUMIF(Sheet1!$H:$H,Planilha1!$B351,Sheet1!O:O)</f>
        <v>27.559522144496441</v>
      </c>
      <c r="G351" s="3">
        <f>E351/F351</f>
        <v>1.269978478454475</v>
      </c>
      <c r="H351" s="4">
        <f>E351/D351</f>
        <v>17.5</v>
      </c>
    </row>
    <row r="352" spans="2:8" x14ac:dyDescent="0.25">
      <c r="B352" t="str">
        <v>Mateo Retegui</v>
      </c>
      <c r="C352" s="3">
        <f>AVERAGEIF(Sheet1!$H:$H,Planilha1!B352,Sheet1!X:X)</f>
        <v>1.0841842418416761</v>
      </c>
      <c r="D352">
        <f>COUNTIF(Sheet1!H:H,Planilha1!B352)</f>
        <v>1</v>
      </c>
      <c r="E352" s="3">
        <f>SUMIF(Sheet1!$H:$H,Planilha1!$B352,Sheet1!C:C)</f>
        <v>25</v>
      </c>
      <c r="F352" s="3">
        <f>SUMIF(Sheet1!$H:$H,Planilha1!$B352,Sheet1!O:O)</f>
        <v>23.058811441063881</v>
      </c>
      <c r="G352" s="3">
        <f>E352/F352</f>
        <v>1.0841842418416756</v>
      </c>
      <c r="H352" s="4">
        <f>E352/D352</f>
        <v>25</v>
      </c>
    </row>
    <row r="353" spans="2:8" x14ac:dyDescent="0.25">
      <c r="B353" t="str">
        <v>Matheus Cunha</v>
      </c>
      <c r="C353" s="3">
        <f>AVERAGEIF(Sheet1!$H:$H,Planilha1!B353,Sheet1!X:X)</f>
        <v>1.4745235879679954</v>
      </c>
      <c r="D353">
        <f>COUNTIF(Sheet1!H:H,Planilha1!B353)</f>
        <v>2</v>
      </c>
      <c r="E353" s="3">
        <f>SUMIF(Sheet1!$H:$H,Planilha1!$B353,Sheet1!C:C)</f>
        <v>27</v>
      </c>
      <c r="F353" s="3">
        <f>SUMIF(Sheet1!$H:$H,Planilha1!$B353,Sheet1!O:O)</f>
        <v>18.675419264473025</v>
      </c>
      <c r="G353" s="3">
        <f>E353/F353</f>
        <v>1.4457506745973381</v>
      </c>
      <c r="H353" s="4">
        <f>E353/D353</f>
        <v>13.5</v>
      </c>
    </row>
    <row r="354" spans="2:8" x14ac:dyDescent="0.25">
      <c r="B354" t="str">
        <v>Mathieu Duhamel</v>
      </c>
      <c r="C354" s="3">
        <f>AVERAGEIF(Sheet1!$H:$H,Planilha1!B354,Sheet1!X:X)</f>
        <v>0.93003158546781095</v>
      </c>
      <c r="D354">
        <f>COUNTIF(Sheet1!H:H,Planilha1!B354)</f>
        <v>1</v>
      </c>
      <c r="E354" s="3">
        <f>SUMIF(Sheet1!$H:$H,Planilha1!$B354,Sheet1!C:C)</f>
        <v>10</v>
      </c>
      <c r="F354" s="3">
        <f>SUMIF(Sheet1!$H:$H,Planilha1!$B354,Sheet1!O:O)</f>
        <v>10.75232299230993</v>
      </c>
      <c r="G354" s="3">
        <f>E354/F354</f>
        <v>0.93003158546781084</v>
      </c>
      <c r="H354" s="4">
        <f>E354/D354</f>
        <v>10</v>
      </c>
    </row>
    <row r="355" spans="2:8" x14ac:dyDescent="0.25">
      <c r="B355" t="str">
        <v>Matìas Soulè Malvano</v>
      </c>
      <c r="C355" s="3">
        <f>AVERAGEIF(Sheet1!$H:$H,Planilha1!B355,Sheet1!X:X)</f>
        <v>0.99980581327150697</v>
      </c>
      <c r="D355">
        <f>COUNTIF(Sheet1!H:H,Planilha1!B355)</f>
        <v>1</v>
      </c>
      <c r="E355" s="3">
        <f>SUMIF(Sheet1!$H:$H,Planilha1!$B355,Sheet1!C:C)</f>
        <v>11</v>
      </c>
      <c r="F355" s="3">
        <f>SUMIF(Sheet1!$H:$H,Planilha1!$B355,Sheet1!O:O)</f>
        <v>11.002136468887331</v>
      </c>
      <c r="G355" s="3">
        <f>E355/F355</f>
        <v>0.99980581327150664</v>
      </c>
      <c r="H355" s="4">
        <f>E355/D355</f>
        <v>11</v>
      </c>
    </row>
    <row r="356" spans="2:8" x14ac:dyDescent="0.25">
      <c r="B356" t="str">
        <v>Matteo Politano</v>
      </c>
      <c r="C356" s="3">
        <f>AVERAGEIF(Sheet1!$H:$H,Planilha1!B356,Sheet1!X:X)</f>
        <v>1.0457209583425671</v>
      </c>
      <c r="D356">
        <f>COUNTIF(Sheet1!H:H,Planilha1!B356)</f>
        <v>1</v>
      </c>
      <c r="E356" s="3">
        <f>SUMIF(Sheet1!$H:$H,Planilha1!$B356,Sheet1!C:C)</f>
        <v>10</v>
      </c>
      <c r="F356" s="3">
        <f>SUMIF(Sheet1!$H:$H,Planilha1!$B356,Sheet1!O:O)</f>
        <v>9.5627805106341839</v>
      </c>
      <c r="G356" s="3">
        <f>E356/F356</f>
        <v>1.0457209583425668</v>
      </c>
      <c r="H356" s="4">
        <f>E356/D356</f>
        <v>10</v>
      </c>
    </row>
    <row r="357" spans="2:8" x14ac:dyDescent="0.25">
      <c r="B357" t="str">
        <v>Mattia Destro</v>
      </c>
      <c r="C357" s="3">
        <f>AVERAGEIF(Sheet1!$H:$H,Planilha1!B357,Sheet1!X:X)</f>
        <v>1.3068127619692751</v>
      </c>
      <c r="D357">
        <f>COUNTIF(Sheet1!H:H,Planilha1!B357)</f>
        <v>2</v>
      </c>
      <c r="E357" s="3">
        <f>SUMIF(Sheet1!$H:$H,Planilha1!$B357,Sheet1!C:C)</f>
        <v>22</v>
      </c>
      <c r="F357" s="3">
        <f>SUMIF(Sheet1!$H:$H,Planilha1!$B357,Sheet1!O:O)</f>
        <v>17.102080218493938</v>
      </c>
      <c r="G357" s="3">
        <f>E357/F357</f>
        <v>1.2863932176045767</v>
      </c>
      <c r="H357" s="4">
        <f>E357/D357</f>
        <v>11</v>
      </c>
    </row>
    <row r="358" spans="2:8" x14ac:dyDescent="0.25">
      <c r="B358" t="str">
        <v>Mattia Zaccagni</v>
      </c>
      <c r="C358" s="3">
        <f>AVERAGEIF(Sheet1!$H:$H,Planilha1!B358,Sheet1!X:X)</f>
        <v>1.1974309811987189</v>
      </c>
      <c r="D358">
        <f>COUNTIF(Sheet1!H:H,Planilha1!B358)</f>
        <v>1</v>
      </c>
      <c r="E358" s="3">
        <f>SUMIF(Sheet1!$H:$H,Planilha1!$B358,Sheet1!C:C)</f>
        <v>10</v>
      </c>
      <c r="F358" s="3">
        <f>SUMIF(Sheet1!$H:$H,Planilha1!$B358,Sheet1!O:O)</f>
        <v>8.3512120172381401</v>
      </c>
      <c r="G358" s="3">
        <f>E358/F358</f>
        <v>1.1974309811987192</v>
      </c>
      <c r="H358" s="4">
        <f>E358/D358</f>
        <v>10</v>
      </c>
    </row>
    <row r="359" spans="2:8" x14ac:dyDescent="0.25">
      <c r="B359" t="str">
        <v>Mauro Arambarri</v>
      </c>
      <c r="C359" s="3">
        <f>AVERAGEIF(Sheet1!$H:$H,Planilha1!B359,Sheet1!X:X)</f>
        <v>1.05466021530889</v>
      </c>
      <c r="D359">
        <f>COUNTIF(Sheet1!H:H,Planilha1!B359)</f>
        <v>1</v>
      </c>
      <c r="E359" s="3">
        <f>SUMIF(Sheet1!$H:$H,Planilha1!$B359,Sheet1!C:C)</f>
        <v>10</v>
      </c>
      <c r="F359" s="3">
        <f>SUMIF(Sheet1!$H:$H,Planilha1!$B359,Sheet1!O:O)</f>
        <v>9.48172677308321</v>
      </c>
      <c r="G359" s="3">
        <f>E359/F359</f>
        <v>1.0546602153088895</v>
      </c>
      <c r="H359" s="4">
        <f>E359/D359</f>
        <v>10</v>
      </c>
    </row>
    <row r="360" spans="2:8" x14ac:dyDescent="0.25">
      <c r="B360" t="str">
        <v>Mauro Icardi</v>
      </c>
      <c r="C360" s="3">
        <f>AVERAGEIF(Sheet1!$H:$H,Planilha1!B360,Sheet1!X:X)</f>
        <v>1.0807567227554451</v>
      </c>
      <c r="D360">
        <f>COUNTIF(Sheet1!H:H,Planilha1!B360)</f>
        <v>6</v>
      </c>
      <c r="E360" s="3">
        <f>SUMIF(Sheet1!$H:$H,Planilha1!$B360,Sheet1!C:C)</f>
        <v>114</v>
      </c>
      <c r="F360" s="3">
        <f>SUMIF(Sheet1!$H:$H,Planilha1!$B360,Sheet1!O:O)</f>
        <v>103.79500711057335</v>
      </c>
      <c r="G360" s="3">
        <f>E360/F360</f>
        <v>1.0983187262423444</v>
      </c>
      <c r="H360" s="4">
        <f>E360/D360</f>
        <v>19</v>
      </c>
    </row>
    <row r="361" spans="2:8" x14ac:dyDescent="0.25">
      <c r="B361" t="str">
        <v>Max Gradel</v>
      </c>
      <c r="C361" s="3">
        <f>AVERAGEIF(Sheet1!$H:$H,Planilha1!B361,Sheet1!X:X)</f>
        <v>0.9757767996654344</v>
      </c>
      <c r="D361">
        <f>COUNTIF(Sheet1!H:H,Planilha1!B361)</f>
        <v>2</v>
      </c>
      <c r="E361" s="3">
        <f>SUMIF(Sheet1!$H:$H,Planilha1!$B361,Sheet1!C:C)</f>
        <v>28</v>
      </c>
      <c r="F361" s="3">
        <f>SUMIF(Sheet1!$H:$H,Planilha1!$B361,Sheet1!O:O)</f>
        <v>28.66138240788132</v>
      </c>
      <c r="G361" s="3">
        <f>E361/F361</f>
        <v>0.97692426699908752</v>
      </c>
      <c r="H361" s="4">
        <f>E361/D361</f>
        <v>14</v>
      </c>
    </row>
    <row r="362" spans="2:8" x14ac:dyDescent="0.25">
      <c r="B362" t="str">
        <v>Max Kruse</v>
      </c>
      <c r="C362" s="3">
        <f>AVERAGEIF(Sheet1!$H:$H,Planilha1!B362,Sheet1!X:X)</f>
        <v>1.2767020696222513</v>
      </c>
      <c r="D362">
        <f>COUNTIF(Sheet1!H:H,Planilha1!B362)</f>
        <v>5</v>
      </c>
      <c r="E362" s="3">
        <f>SUMIF(Sheet1!$H:$H,Planilha1!$B362,Sheet1!C:C)</f>
        <v>60</v>
      </c>
      <c r="F362" s="3">
        <f>SUMIF(Sheet1!$H:$H,Planilha1!$B362,Sheet1!O:O)</f>
        <v>48.45022345427423</v>
      </c>
      <c r="G362" s="3">
        <f>E362/F362</f>
        <v>1.2383843813770246</v>
      </c>
      <c r="H362" s="4">
        <f>E362/D362</f>
        <v>12</v>
      </c>
    </row>
    <row r="363" spans="2:8" x14ac:dyDescent="0.25">
      <c r="B363" t="str">
        <v>Maxi Gómez</v>
      </c>
      <c r="C363" s="3">
        <f>AVERAGEIF(Sheet1!$H:$H,Planilha1!B363,Sheet1!X:X)</f>
        <v>1.185669482357431</v>
      </c>
      <c r="D363">
        <f>COUNTIF(Sheet1!H:H,Planilha1!B363)</f>
        <v>3</v>
      </c>
      <c r="E363" s="3">
        <f>SUMIF(Sheet1!$H:$H,Planilha1!$B363,Sheet1!C:C)</f>
        <v>40</v>
      </c>
      <c r="F363" s="3">
        <f>SUMIF(Sheet1!$H:$H,Planilha1!$B363,Sheet1!O:O)</f>
        <v>35.369760580360897</v>
      </c>
      <c r="G363" s="3">
        <f>E363/F363</f>
        <v>1.1309095493909012</v>
      </c>
      <c r="H363" s="4">
        <f>E363/D363</f>
        <v>13.333333333333334</v>
      </c>
    </row>
    <row r="364" spans="2:8" x14ac:dyDescent="0.25">
      <c r="B364" t="str">
        <v>Maximilian Beier</v>
      </c>
      <c r="C364" s="3">
        <f>AVERAGEIF(Sheet1!$H:$H,Planilha1!B364,Sheet1!X:X)</f>
        <v>1.2843513204332559</v>
      </c>
      <c r="D364">
        <f>COUNTIF(Sheet1!H:H,Planilha1!B364)</f>
        <v>1</v>
      </c>
      <c r="E364" s="3">
        <f>SUMIF(Sheet1!$H:$H,Planilha1!$B364,Sheet1!C:C)</f>
        <v>16</v>
      </c>
      <c r="F364" s="3">
        <f>SUMIF(Sheet1!$H:$H,Planilha1!$B364,Sheet1!O:O)</f>
        <v>12.457650601863859</v>
      </c>
      <c r="G364" s="3">
        <f>E364/F364</f>
        <v>1.2843513204332564</v>
      </c>
      <c r="H364" s="4">
        <f>E364/D364</f>
        <v>16</v>
      </c>
    </row>
    <row r="365" spans="2:8" x14ac:dyDescent="0.25">
      <c r="B365" t="str">
        <v>Memphis Depay</v>
      </c>
      <c r="C365" s="3">
        <f>AVERAGEIF(Sheet1!$H:$H,Planilha1!B365,Sheet1!X:X)</f>
        <v>1.117376092754222</v>
      </c>
      <c r="D365">
        <f>COUNTIF(Sheet1!H:H,Planilha1!B365)</f>
        <v>4</v>
      </c>
      <c r="E365" s="3">
        <f>SUMIF(Sheet1!$H:$H,Planilha1!$B365,Sheet1!C:C)</f>
        <v>62</v>
      </c>
      <c r="F365" s="3">
        <f>SUMIF(Sheet1!$H:$H,Planilha1!$B365,Sheet1!O:O)</f>
        <v>55.314130051061511</v>
      </c>
      <c r="G365" s="3">
        <f>E365/F365</f>
        <v>1.1208709229046292</v>
      </c>
      <c r="H365" s="4">
        <f>E365/D365</f>
        <v>15.5</v>
      </c>
    </row>
    <row r="366" spans="2:8" x14ac:dyDescent="0.25">
      <c r="B366" t="str">
        <v>Michael Gregoritsch</v>
      </c>
      <c r="C366" s="3">
        <f>AVERAGEIF(Sheet1!$H:$H,Planilha1!B366,Sheet1!X:X)</f>
        <v>1.1715101419555625</v>
      </c>
      <c r="D366">
        <f>COUNTIF(Sheet1!H:H,Planilha1!B366)</f>
        <v>2</v>
      </c>
      <c r="E366" s="3">
        <f>SUMIF(Sheet1!$H:$H,Planilha1!$B366,Sheet1!C:C)</f>
        <v>23</v>
      </c>
      <c r="F366" s="3">
        <f>SUMIF(Sheet1!$H:$H,Planilha1!$B366,Sheet1!O:O)</f>
        <v>19.608905403874811</v>
      </c>
      <c r="G366" s="3">
        <f>E366/F366</f>
        <v>1.1729364554665602</v>
      </c>
      <c r="H366" s="4">
        <f>E366/D366</f>
        <v>11.5</v>
      </c>
    </row>
    <row r="367" spans="2:8" x14ac:dyDescent="0.25">
      <c r="B367" t="str">
        <v>Michael Olise</v>
      </c>
      <c r="C367" s="3">
        <f>AVERAGEIF(Sheet1!$H:$H,Planilha1!B367,Sheet1!X:X)</f>
        <v>1.7582685970804981</v>
      </c>
      <c r="D367">
        <f>COUNTIF(Sheet1!H:H,Planilha1!B367)</f>
        <v>1</v>
      </c>
      <c r="E367" s="3">
        <f>SUMIF(Sheet1!$H:$H,Planilha1!$B367,Sheet1!C:C)</f>
        <v>10</v>
      </c>
      <c r="F367" s="3">
        <f>SUMIF(Sheet1!$H:$H,Planilha1!$B367,Sheet1!O:O)</f>
        <v>5.6874131839722404</v>
      </c>
      <c r="G367" s="3">
        <f>E367/F367</f>
        <v>1.7582685970804981</v>
      </c>
      <c r="H367" s="4">
        <f>E367/D367</f>
        <v>10</v>
      </c>
    </row>
    <row r="368" spans="2:8" x14ac:dyDescent="0.25">
      <c r="B368" t="str">
        <v>Michail Antonio</v>
      </c>
      <c r="C368" s="3">
        <f>AVERAGEIF(Sheet1!$H:$H,Planilha1!B368,Sheet1!X:X)</f>
        <v>0.74798617473578466</v>
      </c>
      <c r="D368">
        <f>COUNTIF(Sheet1!H:H,Planilha1!B368)</f>
        <v>3</v>
      </c>
      <c r="E368" s="3">
        <f>SUMIF(Sheet1!$H:$H,Planilha1!$B368,Sheet1!C:C)</f>
        <v>30</v>
      </c>
      <c r="F368" s="3">
        <f>SUMIF(Sheet1!$H:$H,Planilha1!$B368,Sheet1!O:O)</f>
        <v>40.177024463191621</v>
      </c>
      <c r="G368" s="3">
        <f>E368/F368</f>
        <v>0.74669541611984347</v>
      </c>
      <c r="H368" s="4">
        <f>E368/D368</f>
        <v>10</v>
      </c>
    </row>
    <row r="369" spans="2:8" x14ac:dyDescent="0.25">
      <c r="B369" t="str">
        <v>Michy Batshuayi</v>
      </c>
      <c r="C369" s="3">
        <f>AVERAGEIF(Sheet1!$H:$H,Planilha1!B369,Sheet1!X:X)</f>
        <v>0.91517345791512539</v>
      </c>
      <c r="D369">
        <f>COUNTIF(Sheet1!H:H,Planilha1!B369)</f>
        <v>1</v>
      </c>
      <c r="E369" s="3">
        <f>SUMIF(Sheet1!$H:$H,Planilha1!$B369,Sheet1!C:C)</f>
        <v>17</v>
      </c>
      <c r="F369" s="3">
        <f>SUMIF(Sheet1!$H:$H,Planilha1!$B369,Sheet1!O:O)</f>
        <v>18.575713546946641</v>
      </c>
      <c r="G369" s="3">
        <f>E369/F369</f>
        <v>0.91517345791512561</v>
      </c>
      <c r="H369" s="4">
        <f>E369/D369</f>
        <v>17</v>
      </c>
    </row>
    <row r="370" spans="2:8" x14ac:dyDescent="0.25">
      <c r="B370" t="str">
        <v>Miguel Almirón</v>
      </c>
      <c r="C370" s="3">
        <f>AVERAGEIF(Sheet1!$H:$H,Planilha1!B370,Sheet1!X:X)</f>
        <v>1.260447467355938</v>
      </c>
      <c r="D370">
        <f>COUNTIF(Sheet1!H:H,Planilha1!B370)</f>
        <v>1</v>
      </c>
      <c r="E370" s="3">
        <f>SUMIF(Sheet1!$H:$H,Planilha1!$B370,Sheet1!C:C)</f>
        <v>11</v>
      </c>
      <c r="F370" s="3">
        <f>SUMIF(Sheet1!$H:$H,Planilha1!$B370,Sheet1!O:O)</f>
        <v>8.7270594649016857</v>
      </c>
      <c r="G370" s="3">
        <f>E370/F370</f>
        <v>1.2604474673559383</v>
      </c>
      <c r="H370" s="4">
        <f>E370/D370</f>
        <v>11</v>
      </c>
    </row>
    <row r="371" spans="2:8" x14ac:dyDescent="0.25">
      <c r="B371" t="str">
        <v>Mika Biereth</v>
      </c>
      <c r="C371" s="3">
        <f>AVERAGEIF(Sheet1!$H:$H,Planilha1!B371,Sheet1!X:X)</f>
        <v>1.0651157328700389</v>
      </c>
      <c r="D371">
        <f>COUNTIF(Sheet1!H:H,Planilha1!B371)</f>
        <v>1</v>
      </c>
      <c r="E371" s="3">
        <f>SUMIF(Sheet1!$H:$H,Planilha1!$B371,Sheet1!C:C)</f>
        <v>13</v>
      </c>
      <c r="F371" s="3">
        <f>SUMIF(Sheet1!$H:$H,Planilha1!$B371,Sheet1!O:O)</f>
        <v>12.205246433615679</v>
      </c>
      <c r="G371" s="3">
        <f>E371/F371</f>
        <v>1.0651157328700396</v>
      </c>
      <c r="H371" s="4">
        <f>E371/D371</f>
        <v>13</v>
      </c>
    </row>
    <row r="372" spans="2:8" x14ac:dyDescent="0.25">
      <c r="B372" t="str">
        <v>Mikel Oyarzabal</v>
      </c>
      <c r="C372" s="3">
        <f>AVERAGEIF(Sheet1!$H:$H,Planilha1!B372,Sheet1!X:X)</f>
        <v>1.1931022129649032</v>
      </c>
      <c r="D372">
        <f>COUNTIF(Sheet1!H:H,Planilha1!B372)</f>
        <v>4</v>
      </c>
      <c r="E372" s="3">
        <f>SUMIF(Sheet1!$H:$H,Planilha1!$B372,Sheet1!C:C)</f>
        <v>46</v>
      </c>
      <c r="F372" s="3">
        <f>SUMIF(Sheet1!$H:$H,Planilha1!$B372,Sheet1!O:O)</f>
        <v>38.897566520608954</v>
      </c>
      <c r="G372" s="3">
        <f>E372/F372</f>
        <v>1.1825932600598033</v>
      </c>
      <c r="H372" s="4">
        <f>E372/D372</f>
        <v>11.5</v>
      </c>
    </row>
    <row r="373" spans="2:8" x14ac:dyDescent="0.25">
      <c r="B373" t="str">
        <v>Mirco Antenucci</v>
      </c>
      <c r="C373" s="3">
        <f>AVERAGEIF(Sheet1!$H:$H,Planilha1!B373,Sheet1!X:X)</f>
        <v>1.4242561567566709</v>
      </c>
      <c r="D373">
        <f>COUNTIF(Sheet1!H:H,Planilha1!B373)</f>
        <v>1</v>
      </c>
      <c r="E373" s="3">
        <f>SUMIF(Sheet1!$H:$H,Planilha1!$B373,Sheet1!C:C)</f>
        <v>11</v>
      </c>
      <c r="F373" s="3">
        <f>SUMIF(Sheet1!$H:$H,Planilha1!$B373,Sheet1!O:O)</f>
        <v>7.7233297871425748</v>
      </c>
      <c r="G373" s="3">
        <f>E373/F373</f>
        <v>1.4242561567566707</v>
      </c>
      <c r="H373" s="4">
        <f>E373/D373</f>
        <v>11</v>
      </c>
    </row>
    <row r="374" spans="2:8" x14ac:dyDescent="0.25">
      <c r="B374" t="str">
        <v>Mirlind Daku</v>
      </c>
      <c r="C374" s="3">
        <f>AVERAGEIF(Sheet1!$H:$H,Planilha1!B374,Sheet1!X:X)</f>
        <v>1.1520089110951144</v>
      </c>
      <c r="D374">
        <f>COUNTIF(Sheet1!H:H,Planilha1!B374)</f>
        <v>2</v>
      </c>
      <c r="E374" s="3">
        <f>SUMIF(Sheet1!$H:$H,Planilha1!$B374,Sheet1!C:C)</f>
        <v>25</v>
      </c>
      <c r="F374" s="3">
        <f>SUMIF(Sheet1!$H:$H,Planilha1!$B374,Sheet1!O:O)</f>
        <v>21.482608054764576</v>
      </c>
      <c r="G374" s="3">
        <f>E374/F374</f>
        <v>1.1637320727664306</v>
      </c>
      <c r="H374" s="4">
        <f>E374/D374</f>
        <v>12.5</v>
      </c>
    </row>
    <row r="375" spans="2:8" x14ac:dyDescent="0.25">
      <c r="B375" t="str">
        <v>Miroslav Klose</v>
      </c>
      <c r="C375" s="3">
        <f>AVERAGEIF(Sheet1!$H:$H,Planilha1!B375,Sheet1!X:X)</f>
        <v>1.14703352026271</v>
      </c>
      <c r="D375">
        <f>COUNTIF(Sheet1!H:H,Planilha1!B375)</f>
        <v>1</v>
      </c>
      <c r="E375" s="3">
        <f>SUMIF(Sheet1!$H:$H,Planilha1!$B375,Sheet1!C:C)</f>
        <v>13</v>
      </c>
      <c r="F375" s="3">
        <f>SUMIF(Sheet1!$H:$H,Planilha1!$B375,Sheet1!O:O)</f>
        <v>11.33358334377408</v>
      </c>
      <c r="G375" s="3">
        <f>E375/F375</f>
        <v>1.14703352026271</v>
      </c>
      <c r="H375" s="4">
        <f>E375/D375</f>
        <v>13</v>
      </c>
    </row>
    <row r="376" spans="2:8" x14ac:dyDescent="0.25">
      <c r="B376" t="str">
        <v>Mohamed Bayo</v>
      </c>
      <c r="C376" s="3">
        <f>AVERAGEIF(Sheet1!$H:$H,Planilha1!B376,Sheet1!X:X)</f>
        <v>1.0131716015177969</v>
      </c>
      <c r="D376">
        <f>COUNTIF(Sheet1!H:H,Planilha1!B376)</f>
        <v>1</v>
      </c>
      <c r="E376" s="3">
        <f>SUMIF(Sheet1!$H:$H,Planilha1!$B376,Sheet1!C:C)</f>
        <v>14</v>
      </c>
      <c r="F376" s="3">
        <f>SUMIF(Sheet1!$H:$H,Planilha1!$B376,Sheet1!O:O)</f>
        <v>13.817994877696041</v>
      </c>
      <c r="G376" s="3">
        <f>E376/F376</f>
        <v>1.0131716015177961</v>
      </c>
      <c r="H376" s="4">
        <f>E376/D376</f>
        <v>14</v>
      </c>
    </row>
    <row r="377" spans="2:8" x14ac:dyDescent="0.25">
      <c r="B377" t="str">
        <v>Mohamed Konate</v>
      </c>
      <c r="C377" s="3">
        <f>AVERAGEIF(Sheet1!$H:$H,Planilha1!B377,Sheet1!X:X)</f>
        <v>1.3736700604664696</v>
      </c>
      <c r="D377">
        <f>COUNTIF(Sheet1!H:H,Planilha1!B377)</f>
        <v>2</v>
      </c>
      <c r="E377" s="3">
        <f>SUMIF(Sheet1!$H:$H,Planilha1!$B377,Sheet1!C:C)</f>
        <v>22</v>
      </c>
      <c r="F377" s="3">
        <f>SUMIF(Sheet1!$H:$H,Planilha1!$B377,Sheet1!O:O)</f>
        <v>16.847779069095854</v>
      </c>
      <c r="G377" s="3">
        <f>E377/F377</f>
        <v>1.3058100957861529</v>
      </c>
      <c r="H377" s="4">
        <f>E377/D377</f>
        <v>11</v>
      </c>
    </row>
    <row r="378" spans="2:8" x14ac:dyDescent="0.25">
      <c r="B378" t="str">
        <v>Mohamed Salah</v>
      </c>
      <c r="C378" s="3">
        <f>AVERAGEIF(Sheet1!$H:$H,Planilha1!B378,Sheet1!X:X)</f>
        <v>1.0525002242470847</v>
      </c>
      <c r="D378">
        <f>COUNTIF(Sheet1!H:H,Planilha1!B378)</f>
        <v>10</v>
      </c>
      <c r="E378" s="3">
        <f>SUMIF(Sheet1!$H:$H,Planilha1!$B378,Sheet1!C:C)</f>
        <v>213</v>
      </c>
      <c r="F378" s="3">
        <f>SUMIF(Sheet1!$H:$H,Planilha1!$B378,Sheet1!O:O)</f>
        <v>207.98374868463725</v>
      </c>
      <c r="G378" s="3">
        <f>E378/F378</f>
        <v>1.0241184772708796</v>
      </c>
      <c r="H378" s="4">
        <f>E378/D378</f>
        <v>21.3</v>
      </c>
    </row>
    <row r="379" spans="2:8" x14ac:dyDescent="0.25">
      <c r="B379" t="str">
        <v>Mohammed Amoura</v>
      </c>
      <c r="C379" s="3">
        <f>AVERAGEIF(Sheet1!$H:$H,Planilha1!B379,Sheet1!X:X)</f>
        <v>0.920504939434025</v>
      </c>
      <c r="D379">
        <f>COUNTIF(Sheet1!H:H,Planilha1!B379)</f>
        <v>1</v>
      </c>
      <c r="E379" s="3">
        <f>SUMIF(Sheet1!$H:$H,Planilha1!$B379,Sheet1!C:C)</f>
        <v>10</v>
      </c>
      <c r="F379" s="3">
        <f>SUMIF(Sheet1!$H:$H,Planilha1!$B379,Sheet1!O:O)</f>
        <v>10.86360275931656</v>
      </c>
      <c r="G379" s="3">
        <f>E379/F379</f>
        <v>0.92050493943402523</v>
      </c>
      <c r="H379" s="4">
        <f>E379/D379</f>
        <v>10</v>
      </c>
    </row>
    <row r="380" spans="2:8" x14ac:dyDescent="0.25">
      <c r="B380" t="str">
        <v>Moise Kean</v>
      </c>
      <c r="C380" s="3">
        <f>AVERAGEIF(Sheet1!$H:$H,Planilha1!B380,Sheet1!X:X)</f>
        <v>1.0356987307109096</v>
      </c>
      <c r="D380">
        <f>COUNTIF(Sheet1!H:H,Planilha1!B380)</f>
        <v>2</v>
      </c>
      <c r="E380" s="3">
        <f>SUMIF(Sheet1!$H:$H,Planilha1!$B380,Sheet1!C:C)</f>
        <v>32</v>
      </c>
      <c r="F380" s="3">
        <f>SUMIF(Sheet1!$H:$H,Planilha1!$B380,Sheet1!O:O)</f>
        <v>32.691088508814573</v>
      </c>
      <c r="G380" s="3">
        <f>E380/F380</f>
        <v>0.97886003371749974</v>
      </c>
      <c r="H380" s="4">
        <f>E380/D380</f>
        <v>16</v>
      </c>
    </row>
    <row r="381" spans="2:8" x14ac:dyDescent="0.25">
      <c r="B381" t="str">
        <v>Morales</v>
      </c>
      <c r="C381" s="3">
        <f>AVERAGEIF(Sheet1!$H:$H,Planilha1!B381,Sheet1!X:X)</f>
        <v>1.2661050611813296</v>
      </c>
      <c r="D381">
        <f>COUNTIF(Sheet1!H:H,Planilha1!B381)</f>
        <v>3</v>
      </c>
      <c r="E381" s="3">
        <f>SUMIF(Sheet1!$H:$H,Planilha1!$B381,Sheet1!C:C)</f>
        <v>37</v>
      </c>
      <c r="F381" s="3">
        <f>SUMIF(Sheet1!$H:$H,Planilha1!$B381,Sheet1!O:O)</f>
        <v>30.918627137318257</v>
      </c>
      <c r="G381" s="3">
        <f>E381/F381</f>
        <v>1.1966896148290371</v>
      </c>
      <c r="H381" s="4">
        <f>E381/D381</f>
        <v>12.333333333333334</v>
      </c>
    </row>
    <row r="382" spans="2:8" x14ac:dyDescent="0.25">
      <c r="B382" t="str">
        <v>Moritz Hartmann</v>
      </c>
      <c r="C382" s="3">
        <f>AVERAGEIF(Sheet1!$H:$H,Planilha1!B382,Sheet1!X:X)</f>
        <v>0.96770286087910029</v>
      </c>
      <c r="D382">
        <f>COUNTIF(Sheet1!H:H,Planilha1!B382)</f>
        <v>1</v>
      </c>
      <c r="E382" s="3">
        <f>SUMIF(Sheet1!$H:$H,Planilha1!$B382,Sheet1!C:C)</f>
        <v>12</v>
      </c>
      <c r="F382" s="3">
        <f>SUMIF(Sheet1!$H:$H,Planilha1!$B382,Sheet1!O:O)</f>
        <v>12.40050069615245</v>
      </c>
      <c r="G382" s="3">
        <f>E382/F382</f>
        <v>0.96770286087910018</v>
      </c>
      <c r="H382" s="4">
        <f>E382/D382</f>
        <v>12</v>
      </c>
    </row>
    <row r="383" spans="2:8" x14ac:dyDescent="0.25">
      <c r="B383" t="str">
        <v>Moussa Dembele</v>
      </c>
      <c r="C383" s="3">
        <f>AVERAGEIF(Sheet1!$H:$H,Planilha1!B383,Sheet1!X:X)</f>
        <v>1.0866161255180598</v>
      </c>
      <c r="D383">
        <f>COUNTIF(Sheet1!H:H,Planilha1!B383)</f>
        <v>3</v>
      </c>
      <c r="E383" s="3">
        <f>SUMIF(Sheet1!$H:$H,Planilha1!$B383,Sheet1!C:C)</f>
        <v>52</v>
      </c>
      <c r="F383" s="3">
        <f>SUMIF(Sheet1!$H:$H,Planilha1!$B383,Sheet1!O:O)</f>
        <v>50.187717731110752</v>
      </c>
      <c r="G383" s="3">
        <f>E383/F383</f>
        <v>1.0361100753494881</v>
      </c>
      <c r="H383" s="4">
        <f>E383/D383</f>
        <v>17.333333333333332</v>
      </c>
    </row>
    <row r="384" spans="2:8" x14ac:dyDescent="0.25">
      <c r="B384" t="str">
        <v>Moussa Diaby</v>
      </c>
      <c r="C384" s="3">
        <f>AVERAGEIF(Sheet1!$H:$H,Planilha1!B384,Sheet1!X:X)</f>
        <v>1.472146400452679</v>
      </c>
      <c r="D384">
        <f>COUNTIF(Sheet1!H:H,Planilha1!B384)</f>
        <v>1</v>
      </c>
      <c r="E384" s="3">
        <f>SUMIF(Sheet1!$H:$H,Planilha1!$B384,Sheet1!C:C)</f>
        <v>13</v>
      </c>
      <c r="F384" s="3">
        <f>SUMIF(Sheet1!$H:$H,Planilha1!$B384,Sheet1!O:O)</f>
        <v>8.8306434713304043</v>
      </c>
      <c r="G384" s="3">
        <f>E384/F384</f>
        <v>1.4721464004526785</v>
      </c>
      <c r="H384" s="4">
        <f>E384/D384</f>
        <v>13</v>
      </c>
    </row>
    <row r="385" spans="2:8" x14ac:dyDescent="0.25">
      <c r="B385" t="str">
        <v>Moussa Konate</v>
      </c>
      <c r="C385" s="3">
        <f>AVERAGEIF(Sheet1!$H:$H,Planilha1!B385,Sheet1!X:X)</f>
        <v>1.2725362535872471</v>
      </c>
      <c r="D385">
        <f>COUNTIF(Sheet1!H:H,Planilha1!B385)</f>
        <v>1</v>
      </c>
      <c r="E385" s="3">
        <f>SUMIF(Sheet1!$H:$H,Planilha1!$B385,Sheet1!C:C)</f>
        <v>13</v>
      </c>
      <c r="F385" s="3">
        <f>SUMIF(Sheet1!$H:$H,Planilha1!$B385,Sheet1!O:O)</f>
        <v>10.21581897046417</v>
      </c>
      <c r="G385" s="3">
        <f>E385/F385</f>
        <v>1.2725362535872469</v>
      </c>
      <c r="H385" s="4">
        <f>E385/D385</f>
        <v>13</v>
      </c>
    </row>
    <row r="386" spans="2:8" x14ac:dyDescent="0.25">
      <c r="B386" t="str">
        <v>Munir</v>
      </c>
      <c r="C386" s="3">
        <f>AVERAGEIF(Sheet1!$H:$H,Planilha1!B386,Sheet1!X:X)</f>
        <v>1.0309662414181351</v>
      </c>
      <c r="D386">
        <f>COUNTIF(Sheet1!H:H,Planilha1!B386)</f>
        <v>1</v>
      </c>
      <c r="E386" s="3">
        <f>SUMIF(Sheet1!$H:$H,Planilha1!$B386,Sheet1!C:C)</f>
        <v>10</v>
      </c>
      <c r="F386" s="3">
        <f>SUMIF(Sheet1!$H:$H,Planilha1!$B386,Sheet1!O:O)</f>
        <v>9.6996386479586363</v>
      </c>
      <c r="G386" s="3">
        <f>E386/F386</f>
        <v>1.0309662414181353</v>
      </c>
      <c r="H386" s="4">
        <f>E386/D386</f>
        <v>10</v>
      </c>
    </row>
    <row r="387" spans="2:8" x14ac:dyDescent="0.25">
      <c r="B387" t="str">
        <v>Myrto Uzuni</v>
      </c>
      <c r="C387" s="3">
        <f>AVERAGEIF(Sheet1!$H:$H,Planilha1!B387,Sheet1!X:X)</f>
        <v>0.87167559871246691</v>
      </c>
      <c r="D387">
        <f>COUNTIF(Sheet1!H:H,Planilha1!B387)</f>
        <v>1</v>
      </c>
      <c r="E387" s="3">
        <f>SUMIF(Sheet1!$H:$H,Planilha1!$B387,Sheet1!C:C)</f>
        <v>11</v>
      </c>
      <c r="F387" s="3">
        <f>SUMIF(Sheet1!$H:$H,Planilha1!$B387,Sheet1!O:O)</f>
        <v>12.61937355622649</v>
      </c>
      <c r="G387" s="3">
        <f>E387/F387</f>
        <v>0.87167559871246703</v>
      </c>
      <c r="H387" s="4">
        <f>E387/D387</f>
        <v>11</v>
      </c>
    </row>
    <row r="388" spans="2:8" x14ac:dyDescent="0.25">
      <c r="B388" t="str">
        <v>Nabil Fekir</v>
      </c>
      <c r="C388" s="3">
        <f>AVERAGEIF(Sheet1!$H:$H,Planilha1!B388,Sheet1!X:X)</f>
        <v>1.3647121392448929</v>
      </c>
      <c r="D388">
        <f>COUNTIF(Sheet1!H:H,Planilha1!B388)</f>
        <v>2</v>
      </c>
      <c r="E388" s="3">
        <f>SUMIF(Sheet1!$H:$H,Planilha1!$B388,Sheet1!C:C)</f>
        <v>31</v>
      </c>
      <c r="F388" s="3">
        <f>SUMIF(Sheet1!$H:$H,Planilha1!$B388,Sheet1!O:O)</f>
        <v>22.578796247020371</v>
      </c>
      <c r="G388" s="3">
        <f>E388/F388</f>
        <v>1.3729695622764184</v>
      </c>
      <c r="H388" s="4">
        <f>E388/D388</f>
        <v>15.5</v>
      </c>
    </row>
    <row r="389" spans="2:8" x14ac:dyDescent="0.25">
      <c r="B389" t="str">
        <v>Neal Maupay</v>
      </c>
      <c r="C389" s="3">
        <f>AVERAGEIF(Sheet1!$H:$H,Planilha1!B389,Sheet1!X:X)</f>
        <v>0.73754215124127398</v>
      </c>
      <c r="D389">
        <f>COUNTIF(Sheet1!H:H,Planilha1!B389)</f>
        <v>1</v>
      </c>
      <c r="E389" s="3">
        <f>SUMIF(Sheet1!$H:$H,Planilha1!$B389,Sheet1!C:C)</f>
        <v>10</v>
      </c>
      <c r="F389" s="3">
        <f>SUMIF(Sheet1!$H:$H,Planilha1!$B389,Sheet1!O:O)</f>
        <v>13.558547105640169</v>
      </c>
      <c r="G389" s="3">
        <f>E389/F389</f>
        <v>0.73754215124127398</v>
      </c>
      <c r="H389" s="4">
        <f>E389/D389</f>
        <v>10</v>
      </c>
    </row>
    <row r="390" spans="2:8" x14ac:dyDescent="0.25">
      <c r="B390" t="str">
        <v>Neymar</v>
      </c>
      <c r="C390" s="3">
        <f>AVERAGEIF(Sheet1!$H:$H,Planilha1!B390,Sheet1!X:X)</f>
        <v>1.0480870760622396</v>
      </c>
      <c r="D390">
        <f>COUNTIF(Sheet1!H:H,Planilha1!B390)</f>
        <v>8</v>
      </c>
      <c r="E390" s="3">
        <f>SUMIF(Sheet1!$H:$H,Planilha1!$B390,Sheet1!C:C)</f>
        <v>131</v>
      </c>
      <c r="F390" s="3">
        <f>SUMIF(Sheet1!$H:$H,Planilha1!$B390,Sheet1!O:O)</f>
        <v>129.75603456795216</v>
      </c>
      <c r="G390" s="3">
        <f>E390/F390</f>
        <v>1.0095869562921669</v>
      </c>
      <c r="H390" s="4">
        <f>E390/D390</f>
        <v>16.375</v>
      </c>
    </row>
    <row r="391" spans="2:8" x14ac:dyDescent="0.25">
      <c r="B391" t="str">
        <v>Nick Woltemade</v>
      </c>
      <c r="C391" s="3">
        <f>AVERAGEIF(Sheet1!$H:$H,Planilha1!B391,Sheet1!X:X)</f>
        <v>0.9288440720817116</v>
      </c>
      <c r="D391">
        <f>COUNTIF(Sheet1!H:H,Planilha1!B391)</f>
        <v>1</v>
      </c>
      <c r="E391" s="3">
        <f>SUMIF(Sheet1!$H:$H,Planilha1!$B391,Sheet1!C:C)</f>
        <v>12</v>
      </c>
      <c r="F391" s="3">
        <f>SUMIF(Sheet1!$H:$H,Planilha1!$B391,Sheet1!O:O)</f>
        <v>12.91928361356258</v>
      </c>
      <c r="G391" s="3">
        <f>E391/F391</f>
        <v>0.92884407208171182</v>
      </c>
      <c r="H391" s="4">
        <f>E391/D391</f>
        <v>12</v>
      </c>
    </row>
    <row r="392" spans="2:8" x14ac:dyDescent="0.25">
      <c r="B392" t="str">
        <v>Niclas Füllkrug</v>
      </c>
      <c r="C392" s="3">
        <f>AVERAGEIF(Sheet1!$H:$H,Planilha1!B392,Sheet1!X:X)</f>
        <v>1.0751929600935428</v>
      </c>
      <c r="D392">
        <f>COUNTIF(Sheet1!H:H,Planilha1!B392)</f>
        <v>3</v>
      </c>
      <c r="E392" s="3">
        <f>SUMIF(Sheet1!$H:$H,Planilha1!$B392,Sheet1!C:C)</f>
        <v>42</v>
      </c>
      <c r="F392" s="3">
        <f>SUMIF(Sheet1!$H:$H,Planilha1!$B392,Sheet1!O:O)</f>
        <v>39.696686441078789</v>
      </c>
      <c r="G392" s="3">
        <f>E392/F392</f>
        <v>1.0580228166484371</v>
      </c>
      <c r="H392" s="4">
        <f>E392/D392</f>
        <v>14</v>
      </c>
    </row>
    <row r="393" spans="2:8" x14ac:dyDescent="0.25">
      <c r="B393" t="str">
        <v>Nicolas de Preville</v>
      </c>
      <c r="C393" s="3">
        <f>AVERAGEIF(Sheet1!$H:$H,Planilha1!B393,Sheet1!X:X)</f>
        <v>1.455286980320609</v>
      </c>
      <c r="D393">
        <f>COUNTIF(Sheet1!H:H,Planilha1!B393)</f>
        <v>1</v>
      </c>
      <c r="E393" s="3">
        <f>SUMIF(Sheet1!$H:$H,Planilha1!$B393,Sheet1!C:C)</f>
        <v>14</v>
      </c>
      <c r="F393" s="3">
        <f>SUMIF(Sheet1!$H:$H,Planilha1!$B393,Sheet1!O:O)</f>
        <v>9.6200956851243955</v>
      </c>
      <c r="G393" s="3">
        <f>E393/F393</f>
        <v>1.4552869803206088</v>
      </c>
      <c r="H393" s="4">
        <f>E393/D393</f>
        <v>14</v>
      </c>
    </row>
    <row r="394" spans="2:8" x14ac:dyDescent="0.25">
      <c r="B394" t="str">
        <v>Nicolas Jackson</v>
      </c>
      <c r="C394" s="3">
        <f>AVERAGEIF(Sheet1!$H:$H,Planilha1!B394,Sheet1!X:X)</f>
        <v>0.9430551754047416</v>
      </c>
      <c r="D394">
        <f>COUNTIF(Sheet1!H:H,Planilha1!B394)</f>
        <v>3</v>
      </c>
      <c r="E394" s="3">
        <f>SUMIF(Sheet1!$H:$H,Planilha1!$B394,Sheet1!C:C)</f>
        <v>36</v>
      </c>
      <c r="F394" s="3">
        <f>SUMIF(Sheet1!$H:$H,Planilha1!$B394,Sheet1!O:O)</f>
        <v>42.257536398246877</v>
      </c>
      <c r="G394" s="3">
        <f>E394/F394</f>
        <v>0.85191904375886707</v>
      </c>
      <c r="H394" s="4">
        <f>E394/D394</f>
        <v>12</v>
      </c>
    </row>
    <row r="395" spans="2:8" x14ac:dyDescent="0.25">
      <c r="B395" t="str">
        <v>Nicolas Pepe</v>
      </c>
      <c r="C395" s="3">
        <f>AVERAGEIF(Sheet1!$H:$H,Planilha1!B395,Sheet1!X:X)</f>
        <v>1.438740794455778</v>
      </c>
      <c r="D395">
        <f>COUNTIF(Sheet1!H:H,Planilha1!B395)</f>
        <v>3</v>
      </c>
      <c r="E395" s="3">
        <f>SUMIF(Sheet1!$H:$H,Planilha1!$B395,Sheet1!C:C)</f>
        <v>45</v>
      </c>
      <c r="F395" s="3">
        <f>SUMIF(Sheet1!$H:$H,Planilha1!$B395,Sheet1!O:O)</f>
        <v>35.289539712481201</v>
      </c>
      <c r="G395" s="3">
        <f>E395/F395</f>
        <v>1.2751653993402585</v>
      </c>
      <c r="H395" s="4">
        <f>E395/D395</f>
        <v>15</v>
      </c>
    </row>
    <row r="396" spans="2:8" x14ac:dyDescent="0.25">
      <c r="B396" t="str">
        <v>Nikola Kalinic</v>
      </c>
      <c r="C396" s="3">
        <f>AVERAGEIF(Sheet1!$H:$H,Planilha1!B396,Sheet1!X:X)</f>
        <v>0.82629313853284869</v>
      </c>
      <c r="D396">
        <f>COUNTIF(Sheet1!H:H,Planilha1!B396)</f>
        <v>2</v>
      </c>
      <c r="E396" s="3">
        <f>SUMIF(Sheet1!$H:$H,Planilha1!$B396,Sheet1!C:C)</f>
        <v>27</v>
      </c>
      <c r="F396" s="3">
        <f>SUMIF(Sheet1!$H:$H,Planilha1!$B396,Sheet1!O:O)</f>
        <v>32.90069764293731</v>
      </c>
      <c r="G396" s="3">
        <f>E396/F396</f>
        <v>0.82065129113746937</v>
      </c>
      <c r="H396" s="4">
        <f>E396/D396</f>
        <v>13.5</v>
      </c>
    </row>
    <row r="397" spans="2:8" x14ac:dyDescent="0.25">
      <c r="B397" t="str">
        <v>Nikola Krstovic</v>
      </c>
      <c r="C397" s="3">
        <f>AVERAGEIF(Sheet1!$H:$H,Planilha1!B397,Sheet1!X:X)</f>
        <v>0.90221765779079321</v>
      </c>
      <c r="D397">
        <f>COUNTIF(Sheet1!H:H,Planilha1!B397)</f>
        <v>1</v>
      </c>
      <c r="E397" s="3">
        <f>SUMIF(Sheet1!$H:$H,Planilha1!$B397,Sheet1!C:C)</f>
        <v>11</v>
      </c>
      <c r="F397" s="3">
        <f>SUMIF(Sheet1!$H:$H,Planilha1!$B397,Sheet1!O:O)</f>
        <v>12.19217990804464</v>
      </c>
      <c r="G397" s="3">
        <f>E397/F397</f>
        <v>0.90221765779079288</v>
      </c>
      <c r="H397" s="4">
        <f>E397/D397</f>
        <v>11</v>
      </c>
    </row>
    <row r="398" spans="2:8" x14ac:dyDescent="0.25">
      <c r="B398" t="str">
        <v>Nikola Vlasic</v>
      </c>
      <c r="C398" s="3">
        <f>AVERAGEIF(Sheet1!$H:$H,Planilha1!B398,Sheet1!X:X)</f>
        <v>1.420000369795819</v>
      </c>
      <c r="D398">
        <f>COUNTIF(Sheet1!H:H,Planilha1!B398)</f>
        <v>1</v>
      </c>
      <c r="E398" s="3">
        <f>SUMIF(Sheet1!$H:$H,Planilha1!$B398,Sheet1!C:C)</f>
        <v>12</v>
      </c>
      <c r="F398" s="3">
        <f>SUMIF(Sheet1!$H:$H,Planilha1!$B398,Sheet1!O:O)</f>
        <v>8.4507020246237516</v>
      </c>
      <c r="G398" s="3">
        <f>E398/F398</f>
        <v>1.4200003697958186</v>
      </c>
      <c r="H398" s="4">
        <f>E398/D398</f>
        <v>12</v>
      </c>
    </row>
    <row r="399" spans="2:8" x14ac:dyDescent="0.25">
      <c r="B399" t="str">
        <v>Nikolay Komlichenko</v>
      </c>
      <c r="C399" s="3">
        <f>AVERAGEIF(Sheet1!$H:$H,Planilha1!B399,Sheet1!X:X)</f>
        <v>1.468978922117014</v>
      </c>
      <c r="D399">
        <f>COUNTIF(Sheet1!H:H,Planilha1!B399)</f>
        <v>1</v>
      </c>
      <c r="E399" s="3">
        <f>SUMIF(Sheet1!$H:$H,Planilha1!$B399,Sheet1!C:C)</f>
        <v>10</v>
      </c>
      <c r="F399" s="3">
        <f>SUMIF(Sheet1!$H:$H,Planilha1!$B399,Sheet1!O:O)</f>
        <v>6.8074496164917946</v>
      </c>
      <c r="G399" s="3">
        <f>E399/F399</f>
        <v>1.4689789221170144</v>
      </c>
      <c r="H399" s="4">
        <f>E399/D399</f>
        <v>10</v>
      </c>
    </row>
    <row r="400" spans="2:8" x14ac:dyDescent="0.25">
      <c r="B400" t="str">
        <v>Nils Petersen</v>
      </c>
      <c r="C400" s="3">
        <f>AVERAGEIF(Sheet1!$H:$H,Planilha1!B400,Sheet1!X:X)</f>
        <v>1.219850700982736</v>
      </c>
      <c r="D400">
        <f>COUNTIF(Sheet1!H:H,Planilha1!B400)</f>
        <v>4</v>
      </c>
      <c r="E400" s="3">
        <f>SUMIF(Sheet1!$H:$H,Planilha1!$B400,Sheet1!C:C)</f>
        <v>46</v>
      </c>
      <c r="F400" s="3">
        <f>SUMIF(Sheet1!$H:$H,Planilha1!$B400,Sheet1!O:O)</f>
        <v>37.947569619864225</v>
      </c>
      <c r="G400" s="3">
        <f>E400/F400</f>
        <v>1.2121988433198791</v>
      </c>
      <c r="H400" s="4">
        <f>E400/D400</f>
        <v>11.5</v>
      </c>
    </row>
    <row r="401" spans="2:8" x14ac:dyDescent="0.25">
      <c r="B401" t="str">
        <v>Nolan Roux</v>
      </c>
      <c r="C401" s="3">
        <f>AVERAGEIF(Sheet1!$H:$H,Planilha1!B401,Sheet1!X:X)</f>
        <v>1.675844034967678</v>
      </c>
      <c r="D401">
        <f>COUNTIF(Sheet1!H:H,Planilha1!B401)</f>
        <v>1</v>
      </c>
      <c r="E401" s="3">
        <f>SUMIF(Sheet1!$H:$H,Planilha1!$B401,Sheet1!C:C)</f>
        <v>15</v>
      </c>
      <c r="F401" s="3">
        <f>SUMIF(Sheet1!$H:$H,Planilha1!$B401,Sheet1!O:O)</f>
        <v>8.9507136028259993</v>
      </c>
      <c r="G401" s="3">
        <f>E401/F401</f>
        <v>1.6758440349676775</v>
      </c>
      <c r="H401" s="4">
        <f>E401/D401</f>
        <v>15</v>
      </c>
    </row>
    <row r="402" spans="2:8" x14ac:dyDescent="0.25">
      <c r="B402" t="str">
        <v>Nolito</v>
      </c>
      <c r="C402" s="3">
        <f>AVERAGEIF(Sheet1!$H:$H,Planilha1!B402,Sheet1!X:X)</f>
        <v>1.279298318784106</v>
      </c>
      <c r="D402">
        <f>COUNTIF(Sheet1!H:H,Planilha1!B402)</f>
        <v>2</v>
      </c>
      <c r="E402" s="3">
        <f>SUMIF(Sheet1!$H:$H,Planilha1!$B402,Sheet1!C:C)</f>
        <v>25</v>
      </c>
      <c r="F402" s="3">
        <f>SUMIF(Sheet1!$H:$H,Planilha1!$B402,Sheet1!O:O)</f>
        <v>19.729166951030496</v>
      </c>
      <c r="G402" s="3">
        <f>E402/F402</f>
        <v>1.2671594326335303</v>
      </c>
      <c r="H402" s="4">
        <f>E402/D402</f>
        <v>12.5</v>
      </c>
    </row>
    <row r="403" spans="2:8" x14ac:dyDescent="0.25">
      <c r="B403" t="str">
        <v>Odion Ighalo</v>
      </c>
      <c r="C403" s="3">
        <f>AVERAGEIF(Sheet1!$H:$H,Planilha1!B403,Sheet1!X:X)</f>
        <v>0.93203463941462228</v>
      </c>
      <c r="D403">
        <f>COUNTIF(Sheet1!H:H,Planilha1!B403)</f>
        <v>1</v>
      </c>
      <c r="E403" s="3">
        <f>SUMIF(Sheet1!$H:$H,Planilha1!$B403,Sheet1!C:C)</f>
        <v>15</v>
      </c>
      <c r="F403" s="3">
        <f>SUMIF(Sheet1!$H:$H,Planilha1!$B403,Sheet1!O:O)</f>
        <v>16.093822445720431</v>
      </c>
      <c r="G403" s="3">
        <f>E403/F403</f>
        <v>0.9320346394146225</v>
      </c>
      <c r="H403" s="4">
        <f>E403/D403</f>
        <v>15</v>
      </c>
    </row>
    <row r="404" spans="2:8" x14ac:dyDescent="0.25">
      <c r="B404" t="str">
        <v>Oihan Sancet</v>
      </c>
      <c r="C404" s="3">
        <f>AVERAGEIF(Sheet1!$H:$H,Planilha1!B404,Sheet1!X:X)</f>
        <v>1.434169218278122</v>
      </c>
      <c r="D404">
        <f>COUNTIF(Sheet1!H:H,Planilha1!B404)</f>
        <v>1</v>
      </c>
      <c r="E404" s="3">
        <f>SUMIF(Sheet1!$H:$H,Planilha1!$B404,Sheet1!C:C)</f>
        <v>15</v>
      </c>
      <c r="F404" s="3">
        <f>SUMIF(Sheet1!$H:$H,Planilha1!$B404,Sheet1!O:O)</f>
        <v>10.45901683624834</v>
      </c>
      <c r="G404" s="3">
        <f>E404/F404</f>
        <v>1.434169218278122</v>
      </c>
      <c r="H404" s="4">
        <f>E404/D404</f>
        <v>15</v>
      </c>
    </row>
    <row r="405" spans="2:8" x14ac:dyDescent="0.25">
      <c r="B405" t="str">
        <v>Olivier Giroud</v>
      </c>
      <c r="C405" s="3">
        <f>AVERAGEIF(Sheet1!$H:$H,Planilha1!B405,Sheet1!X:X)</f>
        <v>1.1962972616575811</v>
      </c>
      <c r="D405">
        <f>COUNTIF(Sheet1!H:H,Planilha1!B405)</f>
        <v>6</v>
      </c>
      <c r="E405" s="3">
        <f>SUMIF(Sheet1!$H:$H,Planilha1!$B405,Sheet1!C:C)</f>
        <v>81</v>
      </c>
      <c r="F405" s="3">
        <f>SUMIF(Sheet1!$H:$H,Planilha1!$B405,Sheet1!O:O)</f>
        <v>72.582689359784126</v>
      </c>
      <c r="G405" s="3">
        <f>E405/F405</f>
        <v>1.1159685692891899</v>
      </c>
      <c r="H405" s="4">
        <f>E405/D405</f>
        <v>13.5</v>
      </c>
    </row>
    <row r="406" spans="2:8" x14ac:dyDescent="0.25">
      <c r="B406" t="str">
        <v>Ollie Watkins</v>
      </c>
      <c r="C406" s="3">
        <f>AVERAGEIF(Sheet1!$H:$H,Planilha1!B406,Sheet1!X:X)</f>
        <v>0.9038824937042923</v>
      </c>
      <c r="D406">
        <f>COUNTIF(Sheet1!H:H,Planilha1!B406)</f>
        <v>5</v>
      </c>
      <c r="E406" s="3">
        <f>SUMIF(Sheet1!$H:$H,Planilha1!$B406,Sheet1!C:C)</f>
        <v>75</v>
      </c>
      <c r="F406" s="3">
        <f>SUMIF(Sheet1!$H:$H,Planilha1!$B406,Sheet1!O:O)</f>
        <v>83.161689847707748</v>
      </c>
      <c r="G406" s="3">
        <f>E406/F406</f>
        <v>0.90185757573404202</v>
      </c>
      <c r="H406" s="4">
        <f>E406/D406</f>
        <v>15</v>
      </c>
    </row>
    <row r="407" spans="2:8" x14ac:dyDescent="0.25">
      <c r="B407" t="str">
        <v>Omar Marmoush</v>
      </c>
      <c r="C407" s="3">
        <f>AVERAGEIF(Sheet1!$H:$H,Planilha1!B407,Sheet1!X:X)</f>
        <v>1.243445206450136</v>
      </c>
      <c r="D407">
        <f>COUNTIF(Sheet1!H:H,Planilha1!B407)</f>
        <v>2</v>
      </c>
      <c r="E407" s="3">
        <f>SUMIF(Sheet1!$H:$H,Planilha1!$B407,Sheet1!C:C)</f>
        <v>27</v>
      </c>
      <c r="F407" s="3">
        <f>SUMIF(Sheet1!$H:$H,Planilha1!$B407,Sheet1!O:O)</f>
        <v>21.860472351312641</v>
      </c>
      <c r="G407" s="3">
        <f>E407/F407</f>
        <v>1.2351059742027373</v>
      </c>
      <c r="H407" s="4">
        <f>E407/D407</f>
        <v>13.5</v>
      </c>
    </row>
    <row r="408" spans="2:8" x14ac:dyDescent="0.25">
      <c r="B408" t="str">
        <v>Ousmane Dembélé</v>
      </c>
      <c r="C408" s="3">
        <f>AVERAGEIF(Sheet1!$H:$H,Planilha1!B408,Sheet1!X:X)</f>
        <v>1.4419247276467009</v>
      </c>
      <c r="D408">
        <f>COUNTIF(Sheet1!H:H,Planilha1!B408)</f>
        <v>2</v>
      </c>
      <c r="E408" s="3">
        <f>SUMIF(Sheet1!$H:$H,Planilha1!$B408,Sheet1!C:C)</f>
        <v>33</v>
      </c>
      <c r="F408" s="3">
        <f>SUMIF(Sheet1!$H:$H,Planilha1!$B408,Sheet1!O:O)</f>
        <v>25.389024505391713</v>
      </c>
      <c r="G408" s="3">
        <f>E408/F408</f>
        <v>1.2997742387854243</v>
      </c>
      <c r="H408" s="4">
        <f>E408/D408</f>
        <v>16.5</v>
      </c>
    </row>
    <row r="409" spans="2:8" x14ac:dyDescent="0.25">
      <c r="B409" t="str">
        <v>Pablo Piatti</v>
      </c>
      <c r="C409" s="3">
        <f>AVERAGEIF(Sheet1!$H:$H,Planilha1!B409,Sheet1!X:X)</f>
        <v>1.996641473406545</v>
      </c>
      <c r="D409">
        <f>COUNTIF(Sheet1!H:H,Planilha1!B409)</f>
        <v>1</v>
      </c>
      <c r="E409" s="3">
        <f>SUMIF(Sheet1!$H:$H,Planilha1!$B409,Sheet1!C:C)</f>
        <v>10</v>
      </c>
      <c r="F409" s="3">
        <f>SUMIF(Sheet1!$H:$H,Planilha1!$B409,Sheet1!O:O)</f>
        <v>5.0084104398265481</v>
      </c>
      <c r="G409" s="3">
        <f>E409/F409</f>
        <v>1.9966414734065447</v>
      </c>
      <c r="H409" s="4">
        <f>E409/D409</f>
        <v>10</v>
      </c>
    </row>
    <row r="410" spans="2:8" x14ac:dyDescent="0.25">
      <c r="B410" t="str">
        <v>Pablo Sarabia</v>
      </c>
      <c r="C410" s="3">
        <f>AVERAGEIF(Sheet1!$H:$H,Planilha1!B410,Sheet1!X:X)</f>
        <v>1.000338109557773</v>
      </c>
      <c r="D410">
        <f>COUNTIF(Sheet1!H:H,Planilha1!B410)</f>
        <v>1</v>
      </c>
      <c r="E410" s="3">
        <f>SUMIF(Sheet1!$H:$H,Planilha1!$B410,Sheet1!C:C)</f>
        <v>12</v>
      </c>
      <c r="F410" s="3">
        <f>SUMIF(Sheet1!$H:$H,Planilha1!$B410,Sheet1!O:O)</f>
        <v>11.99594405665994</v>
      </c>
      <c r="G410" s="3">
        <f>E410/F410</f>
        <v>1.0003381095577724</v>
      </c>
      <c r="H410" s="4">
        <f>E410/D410</f>
        <v>12</v>
      </c>
    </row>
    <row r="411" spans="2:8" x14ac:dyDescent="0.25">
      <c r="B411" t="str">
        <v>Paco Alcácer</v>
      </c>
      <c r="C411" s="3">
        <f>AVERAGEIF(Sheet1!$H:$H,Planilha1!B411,Sheet1!X:X)</f>
        <v>1.2663135357497872</v>
      </c>
      <c r="D411">
        <f>COUNTIF(Sheet1!H:H,Planilha1!B411)</f>
        <v>3</v>
      </c>
      <c r="E411" s="3">
        <f>SUMIF(Sheet1!$H:$H,Planilha1!$B411,Sheet1!C:C)</f>
        <v>42</v>
      </c>
      <c r="F411" s="3">
        <f>SUMIF(Sheet1!$H:$H,Planilha1!$B411,Sheet1!O:O)</f>
        <v>33.870791992172585</v>
      </c>
      <c r="G411" s="3">
        <f>E411/F411</f>
        <v>1.2400064341485149</v>
      </c>
      <c r="H411" s="4">
        <f>E411/D411</f>
        <v>14</v>
      </c>
    </row>
    <row r="412" spans="2:8" x14ac:dyDescent="0.25">
      <c r="B412" t="str">
        <v>Papiss Demba Cissé</v>
      </c>
      <c r="C412" s="3">
        <f>AVERAGEIF(Sheet1!$H:$H,Planilha1!B412,Sheet1!X:X)</f>
        <v>1.228070465198059</v>
      </c>
      <c r="D412">
        <f>COUNTIF(Sheet1!H:H,Planilha1!B412)</f>
        <v>1</v>
      </c>
      <c r="E412" s="3">
        <f>SUMIF(Sheet1!$H:$H,Planilha1!$B412,Sheet1!C:C)</f>
        <v>11</v>
      </c>
      <c r="F412" s="3">
        <f>SUMIF(Sheet1!$H:$H,Planilha1!$B412,Sheet1!O:O)</f>
        <v>8.9571407437324524</v>
      </c>
      <c r="G412" s="3">
        <f>E412/F412</f>
        <v>1.228070465198059</v>
      </c>
      <c r="H412" s="4">
        <f>E412/D412</f>
        <v>11</v>
      </c>
    </row>
    <row r="413" spans="2:8" x14ac:dyDescent="0.25">
      <c r="B413" t="str">
        <v>Patrick Bamford</v>
      </c>
      <c r="C413" s="3">
        <f>AVERAGEIF(Sheet1!$H:$H,Planilha1!B413,Sheet1!X:X)</f>
        <v>0.92381953960391672</v>
      </c>
      <c r="D413">
        <f>COUNTIF(Sheet1!H:H,Planilha1!B413)</f>
        <v>1</v>
      </c>
      <c r="E413" s="3">
        <f>SUMIF(Sheet1!$H:$H,Planilha1!$B413,Sheet1!C:C)</f>
        <v>17</v>
      </c>
      <c r="F413" s="3">
        <f>SUMIF(Sheet1!$H:$H,Planilha1!$B413,Sheet1!O:O)</f>
        <v>18.401862345635891</v>
      </c>
      <c r="G413" s="3">
        <f>E413/F413</f>
        <v>0.92381953960391672</v>
      </c>
      <c r="H413" s="4">
        <f>E413/D413</f>
        <v>17</v>
      </c>
    </row>
    <row r="414" spans="2:8" x14ac:dyDescent="0.25">
      <c r="B414" t="str">
        <v>Patrick Cutrone</v>
      </c>
      <c r="C414" s="3">
        <f>AVERAGEIF(Sheet1!$H:$H,Planilha1!B414,Sheet1!X:X)</f>
        <v>1.1274667753313721</v>
      </c>
      <c r="D414">
        <f>COUNTIF(Sheet1!H:H,Planilha1!B414)</f>
        <v>1</v>
      </c>
      <c r="E414" s="3">
        <f>SUMIF(Sheet1!$H:$H,Planilha1!$B414,Sheet1!C:C)</f>
        <v>10</v>
      </c>
      <c r="F414" s="3">
        <f>SUMIF(Sheet1!$H:$H,Planilha1!$B414,Sheet1!O:O)</f>
        <v>8.8694409616291523</v>
      </c>
      <c r="G414" s="3">
        <f>E414/F414</f>
        <v>1.1274667753313716</v>
      </c>
      <c r="H414" s="4">
        <f>E414/D414</f>
        <v>10</v>
      </c>
    </row>
    <row r="415" spans="2:8" x14ac:dyDescent="0.25">
      <c r="B415" t="str">
        <v>Patrick Herrmann</v>
      </c>
      <c r="C415" s="3">
        <f>AVERAGEIF(Sheet1!$H:$H,Planilha1!B415,Sheet1!X:X)</f>
        <v>1.1721629768210611</v>
      </c>
      <c r="D415">
        <f>COUNTIF(Sheet1!H:H,Planilha1!B415)</f>
        <v>1</v>
      </c>
      <c r="E415" s="3">
        <f>SUMIF(Sheet1!$H:$H,Planilha1!$B415,Sheet1!C:C)</f>
        <v>11</v>
      </c>
      <c r="F415" s="3">
        <f>SUMIF(Sheet1!$H:$H,Planilha1!$B415,Sheet1!O:O)</f>
        <v>9.3843605518341064</v>
      </c>
      <c r="G415" s="3">
        <f>E415/F415</f>
        <v>1.1721629768210609</v>
      </c>
      <c r="H415" s="4">
        <f>E415/D415</f>
        <v>11</v>
      </c>
    </row>
    <row r="416" spans="2:8" x14ac:dyDescent="0.25">
      <c r="B416" t="str">
        <v>Patrik Schick</v>
      </c>
      <c r="C416" s="3">
        <f>AVERAGEIF(Sheet1!$H:$H,Planilha1!B416,Sheet1!X:X)</f>
        <v>1.4741790201611278</v>
      </c>
      <c r="D416">
        <f>COUNTIF(Sheet1!H:H,Planilha1!B416)</f>
        <v>4</v>
      </c>
      <c r="E416" s="3">
        <f>SUMIF(Sheet1!$H:$H,Planilha1!$B416,Sheet1!C:C)</f>
        <v>66</v>
      </c>
      <c r="F416" s="3">
        <f>SUMIF(Sheet1!$H:$H,Planilha1!$B416,Sheet1!O:O)</f>
        <v>47.537328027188778</v>
      </c>
      <c r="G416" s="3">
        <f>E416/F416</f>
        <v>1.3883826192808222</v>
      </c>
      <c r="H416" s="4">
        <f>E416/D416</f>
        <v>16.5</v>
      </c>
    </row>
    <row r="417" spans="2:8" x14ac:dyDescent="0.25">
      <c r="B417" t="str">
        <v>Paulo Dybala</v>
      </c>
      <c r="C417" s="3">
        <f>AVERAGEIF(Sheet1!$H:$H,Planilha1!B417,Sheet1!X:X)</f>
        <v>1.2232435559481947</v>
      </c>
      <c r="D417">
        <f>COUNTIF(Sheet1!H:H,Planilha1!B417)</f>
        <v>8</v>
      </c>
      <c r="E417" s="3">
        <f>SUMIF(Sheet1!$H:$H,Planilha1!$B417,Sheet1!C:C)</f>
        <v>111</v>
      </c>
      <c r="F417" s="3">
        <f>SUMIF(Sheet1!$H:$H,Planilha1!$B417,Sheet1!O:O)</f>
        <v>91.490276668220744</v>
      </c>
      <c r="G417" s="3">
        <f>E417/F417</f>
        <v>1.2132436805555751</v>
      </c>
      <c r="H417" s="4">
        <f>E417/D417</f>
        <v>13.875</v>
      </c>
    </row>
    <row r="418" spans="2:8" x14ac:dyDescent="0.25">
      <c r="B418" t="str">
        <v>Pavel Mamaev</v>
      </c>
      <c r="C418" s="3">
        <f>AVERAGEIF(Sheet1!$H:$H,Planilha1!B418,Sheet1!X:X)</f>
        <v>1.356408140791644</v>
      </c>
      <c r="D418">
        <f>COUNTIF(Sheet1!H:H,Planilha1!B418)</f>
        <v>1</v>
      </c>
      <c r="E418" s="3">
        <f>SUMIF(Sheet1!$H:$H,Planilha1!$B418,Sheet1!C:C)</f>
        <v>10</v>
      </c>
      <c r="F418" s="3">
        <f>SUMIF(Sheet1!$H:$H,Planilha1!$B418,Sheet1!O:O)</f>
        <v>7.3724122550338507</v>
      </c>
      <c r="G418" s="3">
        <f>E418/F418</f>
        <v>1.3564081407916444</v>
      </c>
      <c r="H418" s="4">
        <f>E418/D418</f>
        <v>10</v>
      </c>
    </row>
    <row r="419" spans="2:8" x14ac:dyDescent="0.25">
      <c r="B419" t="str">
        <v>Pedro</v>
      </c>
      <c r="C419" s="3">
        <f>AVERAGEIF(Sheet1!$H:$H,Planilha1!B419,Sheet1!X:X)</f>
        <v>1.564135983434054</v>
      </c>
      <c r="D419">
        <f>COUNTIF(Sheet1!H:H,Planilha1!B419)</f>
        <v>1</v>
      </c>
      <c r="E419" s="3">
        <f>SUMIF(Sheet1!$H:$H,Planilha1!$B419,Sheet1!C:C)</f>
        <v>10</v>
      </c>
      <c r="F419" s="3">
        <f>SUMIF(Sheet1!$H:$H,Planilha1!$B419,Sheet1!O:O)</f>
        <v>6.3933060206472874</v>
      </c>
      <c r="G419" s="3">
        <f>E419/F419</f>
        <v>1.5641359834340536</v>
      </c>
      <c r="H419" s="4">
        <f>E419/D419</f>
        <v>10</v>
      </c>
    </row>
    <row r="420" spans="2:8" x14ac:dyDescent="0.25">
      <c r="B420" t="str">
        <v>Phil Foden</v>
      </c>
      <c r="C420" s="3">
        <f>AVERAGEIF(Sheet1!$H:$H,Planilha1!B420,Sheet1!X:X)</f>
        <v>1.7292401570638134</v>
      </c>
      <c r="D420">
        <f>COUNTIF(Sheet1!H:H,Planilha1!B420)</f>
        <v>2</v>
      </c>
      <c r="E420" s="3">
        <f>SUMIF(Sheet1!$H:$H,Planilha1!$B420,Sheet1!C:C)</f>
        <v>30</v>
      </c>
      <c r="F420" s="3">
        <f>SUMIF(Sheet1!$H:$H,Planilha1!$B420,Sheet1!O:O)</f>
        <v>17.493835015222427</v>
      </c>
      <c r="G420" s="3">
        <f>E420/F420</f>
        <v>1.7148898439876228</v>
      </c>
      <c r="H420" s="4">
        <f>E420/D420</f>
        <v>15</v>
      </c>
    </row>
    <row r="421" spans="2:8" x14ac:dyDescent="0.25">
      <c r="B421" t="str">
        <v>Philippe Coutinho</v>
      </c>
      <c r="C421" s="3">
        <f>AVERAGEIF(Sheet1!$H:$H,Planilha1!B421,Sheet1!X:X)</f>
        <v>1.4659680579287091</v>
      </c>
      <c r="D421">
        <f>COUNTIF(Sheet1!H:H,Planilha1!B421)</f>
        <v>1</v>
      </c>
      <c r="E421" s="3">
        <f>SUMIF(Sheet1!$H:$H,Planilha1!$B421,Sheet1!C:C)</f>
        <v>13</v>
      </c>
      <c r="F421" s="3">
        <f>SUMIF(Sheet1!$H:$H,Planilha1!$B421,Sheet1!O:O)</f>
        <v>8.8678603395819664</v>
      </c>
      <c r="G421" s="3">
        <f>E421/F421</f>
        <v>1.4659680579287093</v>
      </c>
      <c r="H421" s="4">
        <f>E421/D421</f>
        <v>13</v>
      </c>
    </row>
    <row r="422" spans="2:8" x14ac:dyDescent="0.25">
      <c r="B422" t="str">
        <v>Pierre-Emerick Aubameyang</v>
      </c>
      <c r="C422" s="3">
        <f>AVERAGEIF(Sheet1!$H:$H,Planilha1!B422,Sheet1!X:X)</f>
        <v>0.98584930279188721</v>
      </c>
      <c r="D422">
        <f>COUNTIF(Sheet1!H:H,Planilha1!B422)</f>
        <v>10</v>
      </c>
      <c r="E422" s="3">
        <f>SUMIF(Sheet1!$H:$H,Planilha1!$B422,Sheet1!C:C)</f>
        <v>175</v>
      </c>
      <c r="F422" s="3">
        <f>SUMIF(Sheet1!$H:$H,Planilha1!$B422,Sheet1!O:O)</f>
        <v>182.66828321758658</v>
      </c>
      <c r="G422" s="3">
        <f>E422/F422</f>
        <v>0.95802071885433748</v>
      </c>
      <c r="H422" s="4">
        <f>E422/D422</f>
        <v>17.5</v>
      </c>
    </row>
    <row r="423" spans="2:8" x14ac:dyDescent="0.25">
      <c r="B423" t="str">
        <v>Portu</v>
      </c>
      <c r="C423" s="3">
        <f>AVERAGEIF(Sheet1!$H:$H,Planilha1!B423,Sheet1!X:X)</f>
        <v>1.3439241755634841</v>
      </c>
      <c r="D423">
        <f>COUNTIF(Sheet1!H:H,Planilha1!B423)</f>
        <v>1</v>
      </c>
      <c r="E423" s="3">
        <f>SUMIF(Sheet1!$H:$H,Planilha1!$B423,Sheet1!C:C)</f>
        <v>11</v>
      </c>
      <c r="F423" s="3">
        <f>SUMIF(Sheet1!$H:$H,Planilha1!$B423,Sheet1!O:O)</f>
        <v>8.1849855817854404</v>
      </c>
      <c r="G423" s="3">
        <f>E423/F423</f>
        <v>1.3439241755634839</v>
      </c>
      <c r="H423" s="4">
        <f>E423/D423</f>
        <v>11</v>
      </c>
    </row>
    <row r="424" spans="2:8" x14ac:dyDescent="0.25">
      <c r="B424" t="str">
        <v>Quincy Promes</v>
      </c>
      <c r="C424" s="3">
        <f>AVERAGEIF(Sheet1!$H:$H,Planilha1!B424,Sheet1!X:X)</f>
        <v>1.2824391620322615</v>
      </c>
      <c r="D424">
        <f>COUNTIF(Sheet1!H:H,Planilha1!B424)</f>
        <v>5</v>
      </c>
      <c r="E424" s="3">
        <f>SUMIF(Sheet1!$H:$H,Planilha1!$B424,Sheet1!C:C)</f>
        <v>78</v>
      </c>
      <c r="F424" s="3">
        <f>SUMIF(Sheet1!$H:$H,Planilha1!$B424,Sheet1!O:O)</f>
        <v>61.70943555701524</v>
      </c>
      <c r="G424" s="3">
        <f>E424/F424</f>
        <v>1.2639882263699107</v>
      </c>
      <c r="H424" s="4">
        <f>E424/D424</f>
        <v>15.6</v>
      </c>
    </row>
    <row r="425" spans="2:8" x14ac:dyDescent="0.25">
      <c r="B425" t="str">
        <v>Radja Nainggolan</v>
      </c>
      <c r="C425" s="3">
        <f>AVERAGEIF(Sheet1!$H:$H,Planilha1!B425,Sheet1!X:X)</f>
        <v>1.827618813015365</v>
      </c>
      <c r="D425">
        <f>COUNTIF(Sheet1!H:H,Planilha1!B425)</f>
        <v>1</v>
      </c>
      <c r="E425" s="3">
        <f>SUMIF(Sheet1!$H:$H,Planilha1!$B425,Sheet1!C:C)</f>
        <v>11</v>
      </c>
      <c r="F425" s="3">
        <f>SUMIF(Sheet1!$H:$H,Planilha1!$B425,Sheet1!O:O)</f>
        <v>6.0187605433166027</v>
      </c>
      <c r="G425" s="3">
        <f>E425/F425</f>
        <v>1.8276188130153646</v>
      </c>
      <c r="H425" s="4">
        <f>E425/D425</f>
        <v>11</v>
      </c>
    </row>
    <row r="426" spans="2:8" x14ac:dyDescent="0.25">
      <c r="B426" t="str">
        <v>Rafa Mir</v>
      </c>
      <c r="C426" s="3">
        <f>AVERAGEIF(Sheet1!$H:$H,Planilha1!B426,Sheet1!X:X)</f>
        <v>1.026380154241884</v>
      </c>
      <c r="D426">
        <f>COUNTIF(Sheet1!H:H,Planilha1!B426)</f>
        <v>2</v>
      </c>
      <c r="E426" s="3">
        <f>SUMIF(Sheet1!$H:$H,Planilha1!$B426,Sheet1!C:C)</f>
        <v>23</v>
      </c>
      <c r="F426" s="3">
        <f>SUMIF(Sheet1!$H:$H,Planilha1!$B426,Sheet1!O:O)</f>
        <v>23.496484698727727</v>
      </c>
      <c r="G426" s="3">
        <f>E426/F426</f>
        <v>0.97886983073878242</v>
      </c>
      <c r="H426" s="4">
        <f>E426/D426</f>
        <v>11.5</v>
      </c>
    </row>
    <row r="427" spans="2:8" x14ac:dyDescent="0.25">
      <c r="B427" t="str">
        <v>Rafael Leão</v>
      </c>
      <c r="C427" s="3">
        <f>AVERAGEIF(Sheet1!$H:$H,Planilha1!B427,Sheet1!X:X)</f>
        <v>1.2055858334188589</v>
      </c>
      <c r="D427">
        <f>COUNTIF(Sheet1!H:H,Planilha1!B427)</f>
        <v>1</v>
      </c>
      <c r="E427" s="3">
        <f>SUMIF(Sheet1!$H:$H,Planilha1!$B427,Sheet1!C:C)</f>
        <v>11</v>
      </c>
      <c r="F427" s="3">
        <f>SUMIF(Sheet1!$H:$H,Planilha1!$B427,Sheet1!O:O)</f>
        <v>9.1241948064416647</v>
      </c>
      <c r="G427" s="3">
        <f>E427/F427</f>
        <v>1.2055858334188592</v>
      </c>
      <c r="H427" s="4">
        <f>E427/D427</f>
        <v>11</v>
      </c>
    </row>
    <row r="428" spans="2:8" x14ac:dyDescent="0.25">
      <c r="B428" t="str">
        <v>Raffael</v>
      </c>
      <c r="C428" s="3">
        <f>AVERAGEIF(Sheet1!$H:$H,Planilha1!B428,Sheet1!X:X)</f>
        <v>1.146959495138147</v>
      </c>
      <c r="D428">
        <f>COUNTIF(Sheet1!H:H,Planilha1!B428)</f>
        <v>2</v>
      </c>
      <c r="E428" s="3">
        <f>SUMIF(Sheet1!$H:$H,Planilha1!$B428,Sheet1!C:C)</f>
        <v>25</v>
      </c>
      <c r="F428" s="3">
        <f>SUMIF(Sheet1!$H:$H,Planilha1!$B428,Sheet1!O:O)</f>
        <v>21.796186868101358</v>
      </c>
      <c r="G428" s="3">
        <f>E428/F428</f>
        <v>1.1469896157197759</v>
      </c>
      <c r="H428" s="4">
        <f>E428/D428</f>
        <v>12.5</v>
      </c>
    </row>
    <row r="429" spans="2:8" x14ac:dyDescent="0.25">
      <c r="B429" t="str">
        <v>Raheem Sterling</v>
      </c>
      <c r="C429" s="3">
        <f>AVERAGEIF(Sheet1!$H:$H,Planilha1!B429,Sheet1!X:X)</f>
        <v>0.93769007834954099</v>
      </c>
      <c r="D429">
        <f>COUNTIF(Sheet1!H:H,Planilha1!B429)</f>
        <v>5</v>
      </c>
      <c r="E429" s="3">
        <f>SUMIF(Sheet1!$H:$H,Planilha1!$B429,Sheet1!C:C)</f>
        <v>78</v>
      </c>
      <c r="F429" s="3">
        <f>SUMIF(Sheet1!$H:$H,Planilha1!$B429,Sheet1!O:O)</f>
        <v>82.36634567193687</v>
      </c>
      <c r="G429" s="3">
        <f>E429/F429</f>
        <v>0.94698871685617914</v>
      </c>
      <c r="H429" s="4">
        <f>E429/D429</f>
        <v>15.6</v>
      </c>
    </row>
    <row r="430" spans="2:8" x14ac:dyDescent="0.25">
      <c r="B430" t="str">
        <v>Randal Kolo Muani</v>
      </c>
      <c r="C430" s="3">
        <f>AVERAGEIF(Sheet1!$H:$H,Planilha1!B430,Sheet1!X:X)</f>
        <v>1.0488066489539869</v>
      </c>
      <c r="D430">
        <f>COUNTIF(Sheet1!H:H,Planilha1!B430)</f>
        <v>2</v>
      </c>
      <c r="E430" s="3">
        <f>SUMIF(Sheet1!$H:$H,Planilha1!$B430,Sheet1!C:C)</f>
        <v>27</v>
      </c>
      <c r="F430" s="3">
        <f>SUMIF(Sheet1!$H:$H,Planilha1!$B430,Sheet1!O:O)</f>
        <v>25.823663201183081</v>
      </c>
      <c r="G430" s="3">
        <f>E430/F430</f>
        <v>1.0455526696446005</v>
      </c>
      <c r="H430" s="4">
        <f>E430/D430</f>
        <v>13.5</v>
      </c>
    </row>
    <row r="431" spans="2:8" x14ac:dyDescent="0.25">
      <c r="B431" t="str">
        <v>Raphinha</v>
      </c>
      <c r="C431" s="3">
        <f>AVERAGEIF(Sheet1!$H:$H,Planilha1!B431,Sheet1!X:X)</f>
        <v>1.0047501353913597</v>
      </c>
      <c r="D431">
        <f>COUNTIF(Sheet1!H:H,Planilha1!B431)</f>
        <v>2</v>
      </c>
      <c r="E431" s="3">
        <f>SUMIF(Sheet1!$H:$H,Planilha1!$B431,Sheet1!C:C)</f>
        <v>29</v>
      </c>
      <c r="F431" s="3">
        <f>SUMIF(Sheet1!$H:$H,Planilha1!$B431,Sheet1!O:O)</f>
        <v>29.496539188548919</v>
      </c>
      <c r="G431" s="3">
        <f>E431/F431</f>
        <v>0.98316618823059476</v>
      </c>
      <c r="H431" s="4">
        <f>E431/D431</f>
        <v>14.5</v>
      </c>
    </row>
    <row r="432" spans="2:8" x14ac:dyDescent="0.25">
      <c r="B432" t="str">
        <v>Rasmus Højlund</v>
      </c>
      <c r="C432" s="3">
        <f>AVERAGEIF(Sheet1!$H:$H,Planilha1!B432,Sheet1!X:X)</f>
        <v>1.070791846430992</v>
      </c>
      <c r="D432">
        <f>COUNTIF(Sheet1!H:H,Planilha1!B432)</f>
        <v>1</v>
      </c>
      <c r="E432" s="3">
        <f>SUMIF(Sheet1!$H:$H,Planilha1!$B432,Sheet1!C:C)</f>
        <v>10</v>
      </c>
      <c r="F432" s="3">
        <f>SUMIF(Sheet1!$H:$H,Planilha1!$B432,Sheet1!O:O)</f>
        <v>9.338883213698864</v>
      </c>
      <c r="G432" s="3">
        <f>E432/F432</f>
        <v>1.0707918464309916</v>
      </c>
      <c r="H432" s="4">
        <f>E432/D432</f>
        <v>10</v>
      </c>
    </row>
    <row r="433" spans="2:8" x14ac:dyDescent="0.25">
      <c r="B433" t="str">
        <v>Raúl Bobadilla</v>
      </c>
      <c r="C433" s="3">
        <f>AVERAGEIF(Sheet1!$H:$H,Planilha1!B433,Sheet1!X:X)</f>
        <v>0.95600567279201576</v>
      </c>
      <c r="D433">
        <f>COUNTIF(Sheet1!H:H,Planilha1!B433)</f>
        <v>1</v>
      </c>
      <c r="E433" s="3">
        <f>SUMIF(Sheet1!$H:$H,Planilha1!$B433,Sheet1!C:C)</f>
        <v>10</v>
      </c>
      <c r="F433" s="3">
        <f>SUMIF(Sheet1!$H:$H,Planilha1!$B433,Sheet1!O:O)</f>
        <v>10.460188976489009</v>
      </c>
      <c r="G433" s="3">
        <f>E433/F433</f>
        <v>0.95600567279201554</v>
      </c>
      <c r="H433" s="4">
        <f>E433/D433</f>
        <v>10</v>
      </c>
    </row>
    <row r="434" spans="2:8" x14ac:dyDescent="0.25">
      <c r="B434" t="str">
        <v>Raúl de Tomás</v>
      </c>
      <c r="C434" s="3">
        <f>AVERAGEIF(Sheet1!$H:$H,Planilha1!B434,Sheet1!X:X)</f>
        <v>1.0031088140469422</v>
      </c>
      <c r="D434">
        <f>COUNTIF(Sheet1!H:H,Planilha1!B434)</f>
        <v>2</v>
      </c>
      <c r="E434" s="3">
        <f>SUMIF(Sheet1!$H:$H,Planilha1!$B434,Sheet1!C:C)</f>
        <v>31</v>
      </c>
      <c r="F434" s="3">
        <f>SUMIF(Sheet1!$H:$H,Planilha1!$B434,Sheet1!O:O)</f>
        <v>30.85937070846558</v>
      </c>
      <c r="G434" s="3">
        <f>E434/F434</f>
        <v>1.0045571017265054</v>
      </c>
      <c r="H434" s="4">
        <f>E434/D434</f>
        <v>15.5</v>
      </c>
    </row>
    <row r="435" spans="2:8" x14ac:dyDescent="0.25">
      <c r="B435" t="str">
        <v>Raúl García</v>
      </c>
      <c r="C435" s="3">
        <f>AVERAGEIF(Sheet1!$H:$H,Planilha1!B435,Sheet1!X:X)</f>
        <v>1.1478955834338782</v>
      </c>
      <c r="D435">
        <f>COUNTIF(Sheet1!H:H,Planilha1!B435)</f>
        <v>3</v>
      </c>
      <c r="E435" s="3">
        <f>SUMIF(Sheet1!$H:$H,Planilha1!$B435,Sheet1!C:C)</f>
        <v>35</v>
      </c>
      <c r="F435" s="3">
        <f>SUMIF(Sheet1!$H:$H,Planilha1!$B435,Sheet1!O:O)</f>
        <v>30.309392263647172</v>
      </c>
      <c r="G435" s="3">
        <f>E435/F435</f>
        <v>1.15475756476908</v>
      </c>
      <c r="H435" s="4">
        <f>E435/D435</f>
        <v>11.666666666666666</v>
      </c>
    </row>
    <row r="436" spans="2:8" x14ac:dyDescent="0.25">
      <c r="B436" t="str">
        <v>Raúl Jiménez</v>
      </c>
      <c r="C436" s="3">
        <f>AVERAGEIF(Sheet1!$H:$H,Planilha1!B436,Sheet1!X:X)</f>
        <v>0.92447505220304949</v>
      </c>
      <c r="D436">
        <f>COUNTIF(Sheet1!H:H,Planilha1!B436)</f>
        <v>3</v>
      </c>
      <c r="E436" s="3">
        <f>SUMIF(Sheet1!$H:$H,Planilha1!$B436,Sheet1!C:C)</f>
        <v>42</v>
      </c>
      <c r="F436" s="3">
        <f>SUMIF(Sheet1!$H:$H,Planilha1!$B436,Sheet1!O:O)</f>
        <v>45.189752606675029</v>
      </c>
      <c r="G436" s="3">
        <f>E436/F436</f>
        <v>0.9294142494109634</v>
      </c>
      <c r="H436" s="4">
        <f>E436/D436</f>
        <v>14</v>
      </c>
    </row>
    <row r="437" spans="2:8" x14ac:dyDescent="0.25">
      <c r="B437" t="str">
        <v>Remi Oudin</v>
      </c>
      <c r="C437" s="3">
        <f>AVERAGEIF(Sheet1!$H:$H,Planilha1!B437,Sheet1!X:X)</f>
        <v>1.1560981554517891</v>
      </c>
      <c r="D437">
        <f>COUNTIF(Sheet1!H:H,Planilha1!B437)</f>
        <v>1</v>
      </c>
      <c r="E437" s="3">
        <f>SUMIF(Sheet1!$H:$H,Planilha1!$B437,Sheet1!C:C)</f>
        <v>10</v>
      </c>
      <c r="F437" s="3">
        <f>SUMIF(Sheet1!$H:$H,Planilha1!$B437,Sheet1!O:O)</f>
        <v>8.6497845817357302</v>
      </c>
      <c r="G437" s="3">
        <f>E437/F437</f>
        <v>1.1560981554517888</v>
      </c>
      <c r="H437" s="4">
        <f>E437/D437</f>
        <v>10</v>
      </c>
    </row>
    <row r="438" spans="2:8" x14ac:dyDescent="0.25">
      <c r="B438" t="str">
        <v>Riccardo Orsolini</v>
      </c>
      <c r="C438" s="3">
        <f>AVERAGEIF(Sheet1!$H:$H,Planilha1!B438,Sheet1!X:X)</f>
        <v>1.26313528534966</v>
      </c>
      <c r="D438">
        <f>COUNTIF(Sheet1!H:H,Planilha1!B438)</f>
        <v>2</v>
      </c>
      <c r="E438" s="3">
        <f>SUMIF(Sheet1!$H:$H,Planilha1!$B438,Sheet1!C:C)</f>
        <v>26</v>
      </c>
      <c r="F438" s="3">
        <f>SUMIF(Sheet1!$H:$H,Planilha1!$B438,Sheet1!O:O)</f>
        <v>20.561064777895808</v>
      </c>
      <c r="G438" s="3">
        <f>E438/F438</f>
        <v>1.2645259513968032</v>
      </c>
      <c r="H438" s="4">
        <f>E438/D438</f>
        <v>13</v>
      </c>
    </row>
    <row r="439" spans="2:8" x14ac:dyDescent="0.25">
      <c r="B439" t="str">
        <v>Richarlison</v>
      </c>
      <c r="C439" s="3">
        <f>AVERAGEIF(Sheet1!$H:$H,Planilha1!B439,Sheet1!X:X)</f>
        <v>1.1524802871814834</v>
      </c>
      <c r="D439">
        <f>COUNTIF(Sheet1!H:H,Planilha1!B439)</f>
        <v>4</v>
      </c>
      <c r="E439" s="3">
        <f>SUMIF(Sheet1!$H:$H,Planilha1!$B439,Sheet1!C:C)</f>
        <v>47</v>
      </c>
      <c r="F439" s="3">
        <f>SUMIF(Sheet1!$H:$H,Planilha1!$B439,Sheet1!O:O)</f>
        <v>40.809777318499975</v>
      </c>
      <c r="G439" s="3">
        <f>E439/F439</f>
        <v>1.1516847943861204</v>
      </c>
      <c r="H439" s="4">
        <f>E439/D439</f>
        <v>11.75</v>
      </c>
    </row>
    <row r="440" spans="2:8" x14ac:dyDescent="0.25">
      <c r="B440" t="str">
        <v>Ritsu Doan</v>
      </c>
      <c r="C440" s="3">
        <f>AVERAGEIF(Sheet1!$H:$H,Planilha1!B440,Sheet1!X:X)</f>
        <v>1.241362213969528</v>
      </c>
      <c r="D440">
        <f>COUNTIF(Sheet1!H:H,Planilha1!B440)</f>
        <v>1</v>
      </c>
      <c r="E440" s="3">
        <f>SUMIF(Sheet1!$H:$H,Planilha1!$B440,Sheet1!C:C)</f>
        <v>10</v>
      </c>
      <c r="F440" s="3">
        <f>SUMIF(Sheet1!$H:$H,Planilha1!$B440,Sheet1!O:O)</f>
        <v>8.0556664988398552</v>
      </c>
      <c r="G440" s="3">
        <f>E440/F440</f>
        <v>1.2413622139695282</v>
      </c>
      <c r="H440" s="4">
        <f>E440/D440</f>
        <v>10</v>
      </c>
    </row>
    <row r="441" spans="2:8" x14ac:dyDescent="0.25">
      <c r="B441" t="str">
        <v>Riyad Mahrez</v>
      </c>
      <c r="C441" s="3">
        <f>AVERAGEIF(Sheet1!$H:$H,Planilha1!B441,Sheet1!X:X)</f>
        <v>1.3909199613748136</v>
      </c>
      <c r="D441">
        <f>COUNTIF(Sheet1!H:H,Planilha1!B441)</f>
        <v>3</v>
      </c>
      <c r="E441" s="3">
        <f>SUMIF(Sheet1!$H:$H,Planilha1!$B441,Sheet1!C:C)</f>
        <v>34</v>
      </c>
      <c r="F441" s="3">
        <f>SUMIF(Sheet1!$H:$H,Planilha1!$B441,Sheet1!O:O)</f>
        <v>25.386777255684137</v>
      </c>
      <c r="G441" s="3">
        <f>E441/F441</f>
        <v>1.3392798801347401</v>
      </c>
      <c r="H441" s="4">
        <f>E441/D441</f>
        <v>11.333333333333334</v>
      </c>
    </row>
    <row r="442" spans="2:8" x14ac:dyDescent="0.25">
      <c r="B442" t="str">
        <v>Robert Lewandowski</v>
      </c>
      <c r="C442" s="3">
        <f>AVERAGEIF(Sheet1!$H:$H,Planilha1!B442,Sheet1!X:X)</f>
        <v>0.98813588175979594</v>
      </c>
      <c r="D442">
        <f>COUNTIF(Sheet1!H:H,Planilha1!B442)</f>
        <v>11</v>
      </c>
      <c r="E442" s="3">
        <f>SUMIF(Sheet1!$H:$H,Planilha1!$B442,Sheet1!C:C)</f>
        <v>307</v>
      </c>
      <c r="F442" s="3">
        <f>SUMIF(Sheet1!$H:$H,Planilha1!$B442,Sheet1!O:O)</f>
        <v>311.78785734064877</v>
      </c>
      <c r="G442" s="3">
        <f>E442/F442</f>
        <v>0.98464386207504639</v>
      </c>
      <c r="H442" s="4">
        <f>E442/D442</f>
        <v>27.90909090909091</v>
      </c>
    </row>
    <row r="443" spans="2:8" x14ac:dyDescent="0.25">
      <c r="B443" t="str">
        <v>Roberto Firmino</v>
      </c>
      <c r="C443" s="3">
        <f>AVERAGEIF(Sheet1!$H:$H,Planilha1!B443,Sheet1!X:X)</f>
        <v>1.2169778342744801</v>
      </c>
      <c r="D443">
        <f>COUNTIF(Sheet1!H:H,Planilha1!B443)</f>
        <v>5</v>
      </c>
      <c r="E443" s="3">
        <f>SUMIF(Sheet1!$H:$H,Planilha1!$B443,Sheet1!C:C)</f>
        <v>59</v>
      </c>
      <c r="F443" s="3">
        <f>SUMIF(Sheet1!$H:$H,Planilha1!$B443,Sheet1!O:O)</f>
        <v>50.120043765753508</v>
      </c>
      <c r="G443" s="3">
        <f>E443/F443</f>
        <v>1.1771737525958441</v>
      </c>
      <c r="H443" s="4">
        <f>E443/D443</f>
        <v>11.8</v>
      </c>
    </row>
    <row r="444" spans="2:8" x14ac:dyDescent="0.25">
      <c r="B444" t="str">
        <v>Roberto Inglese</v>
      </c>
      <c r="C444" s="3">
        <f>AVERAGEIF(Sheet1!$H:$H,Planilha1!B444,Sheet1!X:X)</f>
        <v>1.3356487699912125</v>
      </c>
      <c r="D444">
        <f>COUNTIF(Sheet1!H:H,Planilha1!B444)</f>
        <v>2</v>
      </c>
      <c r="E444" s="3">
        <f>SUMIF(Sheet1!$H:$H,Planilha1!$B444,Sheet1!C:C)</f>
        <v>22</v>
      </c>
      <c r="F444" s="3">
        <f>SUMIF(Sheet1!$H:$H,Planilha1!$B444,Sheet1!O:O)</f>
        <v>16.485087659209967</v>
      </c>
      <c r="G444" s="3">
        <f>E444/F444</f>
        <v>1.3345394610449</v>
      </c>
      <c r="H444" s="4">
        <f>E444/D444</f>
        <v>11</v>
      </c>
    </row>
    <row r="445" spans="2:8" x14ac:dyDescent="0.25">
      <c r="B445" t="str">
        <v>Roberto Piccoli</v>
      </c>
      <c r="C445" s="3">
        <f>AVERAGEIF(Sheet1!$H:$H,Planilha1!B445,Sheet1!X:X)</f>
        <v>0.55816990898273133</v>
      </c>
      <c r="D445">
        <f>COUNTIF(Sheet1!H:H,Planilha1!B445)</f>
        <v>1</v>
      </c>
      <c r="E445" s="3">
        <f>SUMIF(Sheet1!$H:$H,Planilha1!$B445,Sheet1!C:C)</f>
        <v>10</v>
      </c>
      <c r="F445" s="3">
        <f>SUMIF(Sheet1!$H:$H,Planilha1!$B445,Sheet1!O:O)</f>
        <v>17.915691690053791</v>
      </c>
      <c r="G445" s="3">
        <f>E445/F445</f>
        <v>0.55816990898273133</v>
      </c>
      <c r="H445" s="4">
        <f>E445/D445</f>
        <v>10</v>
      </c>
    </row>
    <row r="446" spans="2:8" x14ac:dyDescent="0.25">
      <c r="B446" t="str">
        <v>Robin Hack</v>
      </c>
      <c r="C446" s="3">
        <f>AVERAGEIF(Sheet1!$H:$H,Planilha1!B446,Sheet1!X:X)</f>
        <v>2.1892230464388689</v>
      </c>
      <c r="D446">
        <f>COUNTIF(Sheet1!H:H,Planilha1!B446)</f>
        <v>1</v>
      </c>
      <c r="E446" s="3">
        <f>SUMIF(Sheet1!$H:$H,Planilha1!$B446,Sheet1!C:C)</f>
        <v>10</v>
      </c>
      <c r="F446" s="3">
        <f>SUMIF(Sheet1!$H:$H,Planilha1!$B446,Sheet1!O:O)</f>
        <v>4.5678305900655687</v>
      </c>
      <c r="G446" s="3">
        <f>E446/F446</f>
        <v>2.1892230464388689</v>
      </c>
      <c r="H446" s="4">
        <f>E446/D446</f>
        <v>10</v>
      </c>
    </row>
    <row r="447" spans="2:8" x14ac:dyDescent="0.25">
      <c r="B447" t="str">
        <v>Robin Quaison</v>
      </c>
      <c r="C447" s="3">
        <f>AVERAGEIF(Sheet1!$H:$H,Planilha1!B447,Sheet1!X:X)</f>
        <v>1.161056675381025</v>
      </c>
      <c r="D447">
        <f>COUNTIF(Sheet1!H:H,Planilha1!B447)</f>
        <v>1</v>
      </c>
      <c r="E447" s="3">
        <f>SUMIF(Sheet1!$H:$H,Planilha1!$B447,Sheet1!C:C)</f>
        <v>13</v>
      </c>
      <c r="F447" s="3">
        <f>SUMIF(Sheet1!$H:$H,Planilha1!$B447,Sheet1!O:O)</f>
        <v>11.19669717736542</v>
      </c>
      <c r="G447" s="3">
        <f>E447/F447</f>
        <v>1.1610566753810247</v>
      </c>
      <c r="H447" s="4">
        <f>E447/D447</f>
        <v>13</v>
      </c>
    </row>
    <row r="448" spans="2:8" x14ac:dyDescent="0.25">
      <c r="B448" t="str">
        <v>Robin van Persie</v>
      </c>
      <c r="C448" s="3">
        <f>AVERAGEIF(Sheet1!$H:$H,Planilha1!B448,Sheet1!X:X)</f>
        <v>0.86181123307095497</v>
      </c>
      <c r="D448">
        <f>COUNTIF(Sheet1!H:H,Planilha1!B448)</f>
        <v>1</v>
      </c>
      <c r="E448" s="3">
        <f>SUMIF(Sheet1!$H:$H,Planilha1!$B448,Sheet1!C:C)</f>
        <v>10</v>
      </c>
      <c r="F448" s="3">
        <f>SUMIF(Sheet1!$H:$H,Planilha1!$B448,Sheet1!O:O)</f>
        <v>11.6034690849483</v>
      </c>
      <c r="G448" s="3">
        <f>E448/F448</f>
        <v>0.86181123307095497</v>
      </c>
      <c r="H448" s="4">
        <f>E448/D448</f>
        <v>10</v>
      </c>
    </row>
    <row r="449" spans="2:8" x14ac:dyDescent="0.25">
      <c r="B449" t="str">
        <v>Rodrigo</v>
      </c>
      <c r="C449" s="3">
        <f>AVERAGEIF(Sheet1!$H:$H,Planilha1!B449,Sheet1!X:X)</f>
        <v>1.3080543237865285</v>
      </c>
      <c r="D449">
        <f>COUNTIF(Sheet1!H:H,Planilha1!B449)</f>
        <v>2</v>
      </c>
      <c r="E449" s="3">
        <f>SUMIF(Sheet1!$H:$H,Planilha1!$B449,Sheet1!C:C)</f>
        <v>29</v>
      </c>
      <c r="F449" s="3">
        <f>SUMIF(Sheet1!$H:$H,Planilha1!$B449,Sheet1!O:O)</f>
        <v>23.122179707512259</v>
      </c>
      <c r="G449" s="3">
        <f>E449/F449</f>
        <v>1.2542070153783154</v>
      </c>
      <c r="H449" s="4">
        <f>E449/D449</f>
        <v>14.5</v>
      </c>
    </row>
    <row r="450" spans="2:8" x14ac:dyDescent="0.25">
      <c r="B450" t="str">
        <v>Rodrygo</v>
      </c>
      <c r="C450" s="3">
        <f>AVERAGEIF(Sheet1!$H:$H,Planilha1!B450,Sheet1!X:X)</f>
        <v>0.80450553479162301</v>
      </c>
      <c r="D450">
        <f>COUNTIF(Sheet1!H:H,Planilha1!B450)</f>
        <v>1</v>
      </c>
      <c r="E450" s="3">
        <f>SUMIF(Sheet1!$H:$H,Planilha1!$B450,Sheet1!C:C)</f>
        <v>10</v>
      </c>
      <c r="F450" s="3">
        <f>SUMIF(Sheet1!$H:$H,Planilha1!$B450,Sheet1!O:O)</f>
        <v>12.42999527975917</v>
      </c>
      <c r="G450" s="3">
        <f>E450/F450</f>
        <v>0.8045055347916229</v>
      </c>
      <c r="H450" s="4">
        <f>E450/D450</f>
        <v>10</v>
      </c>
    </row>
    <row r="451" spans="2:8" x14ac:dyDescent="0.25">
      <c r="B451" t="str">
        <v>Roger</v>
      </c>
      <c r="C451" s="3">
        <f>AVERAGEIF(Sheet1!$H:$H,Planilha1!B451,Sheet1!X:X)</f>
        <v>1.1212949245211294</v>
      </c>
      <c r="D451">
        <f>COUNTIF(Sheet1!H:H,Planilha1!B451)</f>
        <v>3</v>
      </c>
      <c r="E451" s="3">
        <f>SUMIF(Sheet1!$H:$H,Planilha1!$B451,Sheet1!C:C)</f>
        <v>36</v>
      </c>
      <c r="F451" s="3">
        <f>SUMIF(Sheet1!$H:$H,Planilha1!$B451,Sheet1!O:O)</f>
        <v>32.431784776039414</v>
      </c>
      <c r="G451" s="3">
        <f>E451/F451</f>
        <v>1.1100221664827026</v>
      </c>
      <c r="H451" s="4">
        <f>E451/D451</f>
        <v>12</v>
      </c>
    </row>
    <row r="452" spans="2:8" x14ac:dyDescent="0.25">
      <c r="B452" t="str">
        <v>Romelu Lukaku</v>
      </c>
      <c r="C452" s="3">
        <f>AVERAGEIF(Sheet1!$H:$H,Planilha1!B452,Sheet1!X:X)</f>
        <v>1.0456650813413864</v>
      </c>
      <c r="D452">
        <f>COUNTIF(Sheet1!H:H,Planilha1!B452)</f>
        <v>10</v>
      </c>
      <c r="E452" s="3">
        <f>SUMIF(Sheet1!$H:$H,Planilha1!$B452,Sheet1!C:C)</f>
        <v>165</v>
      </c>
      <c r="F452" s="3">
        <f>SUMIF(Sheet1!$H:$H,Planilha1!$B452,Sheet1!O:O)</f>
        <v>156.85354018677026</v>
      </c>
      <c r="G452" s="3">
        <f>E452/F452</f>
        <v>1.0519367290246016</v>
      </c>
      <c r="H452" s="4">
        <f>E452/D452</f>
        <v>16.5</v>
      </c>
    </row>
    <row r="453" spans="2:8" x14ac:dyDescent="0.25">
      <c r="B453" t="str">
        <v>Ronny Rodelin</v>
      </c>
      <c r="C453" s="3">
        <f>AVERAGEIF(Sheet1!$H:$H,Planilha1!B453,Sheet1!X:X)</f>
        <v>1.5478641756541509</v>
      </c>
      <c r="D453">
        <f>COUNTIF(Sheet1!H:H,Planilha1!B453)</f>
        <v>1</v>
      </c>
      <c r="E453" s="3">
        <f>SUMIF(Sheet1!$H:$H,Planilha1!$B453,Sheet1!C:C)</f>
        <v>10</v>
      </c>
      <c r="F453" s="3">
        <f>SUMIF(Sheet1!$H:$H,Planilha1!$B453,Sheet1!O:O)</f>
        <v>6.460515177808702</v>
      </c>
      <c r="G453" s="3">
        <f>E453/F453</f>
        <v>1.5478641756541514</v>
      </c>
      <c r="H453" s="4">
        <f>E453/D453</f>
        <v>10</v>
      </c>
    </row>
    <row r="454" spans="2:8" x14ac:dyDescent="0.25">
      <c r="B454" t="str">
        <v>Rouwen Hennings</v>
      </c>
      <c r="C454" s="3">
        <f>AVERAGEIF(Sheet1!$H:$H,Planilha1!B454,Sheet1!X:X)</f>
        <v>1.3278037534695479</v>
      </c>
      <c r="D454">
        <f>COUNTIF(Sheet1!H:H,Planilha1!B454)</f>
        <v>1</v>
      </c>
      <c r="E454" s="3">
        <f>SUMIF(Sheet1!$H:$H,Planilha1!$B454,Sheet1!C:C)</f>
        <v>15</v>
      </c>
      <c r="F454" s="3">
        <f>SUMIF(Sheet1!$H:$H,Planilha1!$B454,Sheet1!O:O)</f>
        <v>11.296850126236681</v>
      </c>
      <c r="G454" s="3">
        <f>E454/F454</f>
        <v>1.3278037534695479</v>
      </c>
      <c r="H454" s="4">
        <f>E454/D454</f>
        <v>15</v>
      </c>
    </row>
    <row r="455" spans="2:8" x14ac:dyDescent="0.25">
      <c r="B455" t="str">
        <v>Rubén Castro</v>
      </c>
      <c r="C455" s="3">
        <f>AVERAGEIF(Sheet1!$H:$H,Planilha1!B455,Sheet1!X:X)</f>
        <v>0.99473472857473855</v>
      </c>
      <c r="D455">
        <f>COUNTIF(Sheet1!H:H,Planilha1!B455)</f>
        <v>2</v>
      </c>
      <c r="E455" s="3">
        <f>SUMIF(Sheet1!$H:$H,Planilha1!$B455,Sheet1!C:C)</f>
        <v>32</v>
      </c>
      <c r="F455" s="3">
        <f>SUMIF(Sheet1!$H:$H,Planilha1!$B455,Sheet1!O:O)</f>
        <v>31.953403143212199</v>
      </c>
      <c r="G455" s="3">
        <f>E455/F455</f>
        <v>1.0014582752447043</v>
      </c>
      <c r="H455" s="4">
        <f>E455/D455</f>
        <v>16</v>
      </c>
    </row>
    <row r="456" spans="2:8" x14ac:dyDescent="0.25">
      <c r="B456" t="str">
        <v>Ryad Boudebouz</v>
      </c>
      <c r="C456" s="3">
        <f>AVERAGEIF(Sheet1!$H:$H,Planilha1!B456,Sheet1!X:X)</f>
        <v>1.9373635628540169</v>
      </c>
      <c r="D456">
        <f>COUNTIF(Sheet1!H:H,Planilha1!B456)</f>
        <v>1</v>
      </c>
      <c r="E456" s="3">
        <f>SUMIF(Sheet1!$H:$H,Planilha1!$B456,Sheet1!C:C)</f>
        <v>11</v>
      </c>
      <c r="F456" s="3">
        <f>SUMIF(Sheet1!$H:$H,Planilha1!$B456,Sheet1!O:O)</f>
        <v>5.6778191821649671</v>
      </c>
      <c r="G456" s="3">
        <f>E456/F456</f>
        <v>1.9373635628540167</v>
      </c>
      <c r="H456" s="4">
        <f>E456/D456</f>
        <v>11</v>
      </c>
    </row>
    <row r="457" spans="2:8" x14ac:dyDescent="0.25">
      <c r="B457" t="str">
        <v>Sadio Mané</v>
      </c>
      <c r="C457" s="3">
        <f>AVERAGEIF(Sheet1!$H:$H,Planilha1!B457,Sheet1!X:X)</f>
        <v>1.0658900027856117</v>
      </c>
      <c r="D457">
        <f>COUNTIF(Sheet1!H:H,Planilha1!B457)</f>
        <v>8</v>
      </c>
      <c r="E457" s="3">
        <f>SUMIF(Sheet1!$H:$H,Planilha1!$B457,Sheet1!C:C)</f>
        <v>111</v>
      </c>
      <c r="F457" s="3">
        <f>SUMIF(Sheet1!$H:$H,Planilha1!$B457,Sheet1!O:O)</f>
        <v>105.06606995686887</v>
      </c>
      <c r="G457" s="3">
        <f>E457/F457</f>
        <v>1.056478081321278</v>
      </c>
      <c r="H457" s="4">
        <f>E457/D457</f>
        <v>13.875</v>
      </c>
    </row>
    <row r="458" spans="2:8" x14ac:dyDescent="0.25">
      <c r="B458" t="str">
        <v>Saido Berahino</v>
      </c>
      <c r="C458" s="3">
        <f>AVERAGEIF(Sheet1!$H:$H,Planilha1!B458,Sheet1!X:X)</f>
        <v>1.0114328147302489</v>
      </c>
      <c r="D458">
        <f>COUNTIF(Sheet1!H:H,Planilha1!B458)</f>
        <v>1</v>
      </c>
      <c r="E458" s="3">
        <f>SUMIF(Sheet1!$H:$H,Planilha1!$B458,Sheet1!C:C)</f>
        <v>14</v>
      </c>
      <c r="F458" s="3">
        <f>SUMIF(Sheet1!$H:$H,Planilha1!$B458,Sheet1!O:O)</f>
        <v>13.841749838553371</v>
      </c>
      <c r="G458" s="3">
        <f>E458/F458</f>
        <v>1.0114328147302487</v>
      </c>
      <c r="H458" s="4">
        <f>E458/D458</f>
        <v>14</v>
      </c>
    </row>
    <row r="459" spans="2:8" x14ac:dyDescent="0.25">
      <c r="B459" t="str">
        <v>Salomon Kalou</v>
      </c>
      <c r="C459" s="3">
        <f>AVERAGEIF(Sheet1!$H:$H,Planilha1!B459,Sheet1!X:X)</f>
        <v>1.3465525253742334</v>
      </c>
      <c r="D459">
        <f>COUNTIF(Sheet1!H:H,Planilha1!B459)</f>
        <v>2</v>
      </c>
      <c r="E459" s="3">
        <f>SUMIF(Sheet1!$H:$H,Planilha1!$B459,Sheet1!C:C)</f>
        <v>26</v>
      </c>
      <c r="F459" s="3">
        <f>SUMIF(Sheet1!$H:$H,Planilha1!$B459,Sheet1!O:O)</f>
        <v>19.297408685088158</v>
      </c>
      <c r="G459" s="3">
        <f>E459/F459</f>
        <v>1.3473311585141061</v>
      </c>
      <c r="H459" s="4">
        <f>E459/D459</f>
        <v>13</v>
      </c>
    </row>
    <row r="460" spans="2:8" x14ac:dyDescent="0.25">
      <c r="B460" t="str">
        <v>Salomón Rondón</v>
      </c>
      <c r="C460" s="3">
        <f>AVERAGEIF(Sheet1!$H:$H,Planilha1!B460,Sheet1!X:X)</f>
        <v>1.1297749377230839</v>
      </c>
      <c r="D460">
        <f>COUNTIF(Sheet1!H:H,Planilha1!B460)</f>
        <v>2</v>
      </c>
      <c r="E460" s="3">
        <f>SUMIF(Sheet1!$H:$H,Planilha1!$B460,Sheet1!C:C)</f>
        <v>24</v>
      </c>
      <c r="F460" s="3">
        <f>SUMIF(Sheet1!$H:$H,Planilha1!$B460,Sheet1!O:O)</f>
        <v>21.245320153422647</v>
      </c>
      <c r="G460" s="3">
        <f>E460/F460</f>
        <v>1.1296605476728281</v>
      </c>
      <c r="H460" s="4">
        <f>E460/D460</f>
        <v>12</v>
      </c>
    </row>
    <row r="461" spans="2:8" x14ac:dyDescent="0.25">
      <c r="B461" t="str">
        <v>Sam Vokes</v>
      </c>
      <c r="C461" s="3">
        <f>AVERAGEIF(Sheet1!$H:$H,Planilha1!B461,Sheet1!X:X)</f>
        <v>1.1979705386660899</v>
      </c>
      <c r="D461">
        <f>COUNTIF(Sheet1!H:H,Planilha1!B461)</f>
        <v>1</v>
      </c>
      <c r="E461" s="3">
        <f>SUMIF(Sheet1!$H:$H,Planilha1!$B461,Sheet1!C:C)</f>
        <v>10</v>
      </c>
      <c r="F461" s="3">
        <f>SUMIF(Sheet1!$H:$H,Planilha1!$B461,Sheet1!O:O)</f>
        <v>8.347450690343976</v>
      </c>
      <c r="G461" s="3">
        <f>E461/F461</f>
        <v>1.1979705386660902</v>
      </c>
      <c r="H461" s="4">
        <f>E461/D461</f>
        <v>10</v>
      </c>
    </row>
    <row r="462" spans="2:8" x14ac:dyDescent="0.25">
      <c r="B462" t="str">
        <v>Sandro Ramírez</v>
      </c>
      <c r="C462" s="3">
        <f>AVERAGEIF(Sheet1!$H:$H,Planilha1!B462,Sheet1!X:X)</f>
        <v>2.0006704685416139</v>
      </c>
      <c r="D462">
        <f>COUNTIF(Sheet1!H:H,Planilha1!B462)</f>
        <v>1</v>
      </c>
      <c r="E462" s="3">
        <f>SUMIF(Sheet1!$H:$H,Planilha1!$B462,Sheet1!C:C)</f>
        <v>14</v>
      </c>
      <c r="F462" s="3">
        <f>SUMIF(Sheet1!$H:$H,Planilha1!$B462,Sheet1!O:O)</f>
        <v>6.997654146514833</v>
      </c>
      <c r="G462" s="3">
        <f>E462/F462</f>
        <v>2.0006704685416143</v>
      </c>
      <c r="H462" s="4">
        <f>E462/D462</f>
        <v>14</v>
      </c>
    </row>
    <row r="463" spans="2:8" x14ac:dyDescent="0.25">
      <c r="B463" t="str">
        <v>Sandro Wagner</v>
      </c>
      <c r="C463" s="3">
        <f>AVERAGEIF(Sheet1!$H:$H,Planilha1!B463,Sheet1!X:X)</f>
        <v>1.0312817426099263</v>
      </c>
      <c r="D463">
        <f>COUNTIF(Sheet1!H:H,Planilha1!B463)</f>
        <v>3</v>
      </c>
      <c r="E463" s="3">
        <f>SUMIF(Sheet1!$H:$H,Planilha1!$B463,Sheet1!C:C)</f>
        <v>37</v>
      </c>
      <c r="F463" s="3">
        <f>SUMIF(Sheet1!$H:$H,Planilha1!$B463,Sheet1!O:O)</f>
        <v>36.427528500091285</v>
      </c>
      <c r="G463" s="3">
        <f>E463/F463</f>
        <v>1.0157153538403596</v>
      </c>
      <c r="H463" s="4">
        <f>E463/D463</f>
        <v>12.333333333333334</v>
      </c>
    </row>
    <row r="464" spans="2:8" x14ac:dyDescent="0.25">
      <c r="B464" t="str">
        <v>Santi Mina</v>
      </c>
      <c r="C464" s="3">
        <f>AVERAGEIF(Sheet1!$H:$H,Planilha1!B464,Sheet1!X:X)</f>
        <v>1.31363784585532</v>
      </c>
      <c r="D464">
        <f>COUNTIF(Sheet1!H:H,Planilha1!B464)</f>
        <v>2</v>
      </c>
      <c r="E464" s="3">
        <f>SUMIF(Sheet1!$H:$H,Planilha1!$B464,Sheet1!C:C)</f>
        <v>24</v>
      </c>
      <c r="F464" s="3">
        <f>SUMIF(Sheet1!$H:$H,Planilha1!$B464,Sheet1!O:O)</f>
        <v>18.280108500272036</v>
      </c>
      <c r="G464" s="3">
        <f>E464/F464</f>
        <v>1.3129024917791294</v>
      </c>
      <c r="H464" s="4">
        <f>E464/D464</f>
        <v>12</v>
      </c>
    </row>
    <row r="465" spans="2:8" x14ac:dyDescent="0.25">
      <c r="B465" t="str">
        <v>Sardar Azmoun</v>
      </c>
      <c r="C465" s="3">
        <f>AVERAGEIF(Sheet1!$H:$H,Planilha1!B465,Sheet1!X:X)</f>
        <v>0.9454524317618932</v>
      </c>
      <c r="D465">
        <f>COUNTIF(Sheet1!H:H,Planilha1!B465)</f>
        <v>3</v>
      </c>
      <c r="E465" s="3">
        <f>SUMIF(Sheet1!$H:$H,Planilha1!$B465,Sheet1!C:C)</f>
        <v>49</v>
      </c>
      <c r="F465" s="3">
        <f>SUMIF(Sheet1!$H:$H,Planilha1!$B465,Sheet1!O:O)</f>
        <v>51.524599535390735</v>
      </c>
      <c r="G465" s="3">
        <f>E465/F465</f>
        <v>0.95100205420021433</v>
      </c>
      <c r="H465" s="4">
        <f>E465/D465</f>
        <v>16.333333333333332</v>
      </c>
    </row>
    <row r="466" spans="2:8" x14ac:dyDescent="0.25">
      <c r="B466" t="str">
        <v>Sasa Kalajdzic</v>
      </c>
      <c r="C466" s="3">
        <f>AVERAGEIF(Sheet1!$H:$H,Planilha1!B466,Sheet1!X:X)</f>
        <v>1.4237099185507041</v>
      </c>
      <c r="D466">
        <f>COUNTIF(Sheet1!H:H,Planilha1!B466)</f>
        <v>1</v>
      </c>
      <c r="E466" s="3">
        <f>SUMIF(Sheet1!$H:$H,Planilha1!$B466,Sheet1!C:C)</f>
        <v>16</v>
      </c>
      <c r="F466" s="3">
        <f>SUMIF(Sheet1!$H:$H,Planilha1!$B466,Sheet1!O:O)</f>
        <v>11.23824438638985</v>
      </c>
      <c r="G466" s="3">
        <f>E466/F466</f>
        <v>1.4237099185507041</v>
      </c>
      <c r="H466" s="4">
        <f>E466/D466</f>
        <v>16</v>
      </c>
    </row>
    <row r="467" spans="2:8" x14ac:dyDescent="0.25">
      <c r="B467" t="str">
        <v>Sebastian Andersson</v>
      </c>
      <c r="C467" s="3">
        <f>AVERAGEIF(Sheet1!$H:$H,Planilha1!B467,Sheet1!X:X)</f>
        <v>0.9212341163715263</v>
      </c>
      <c r="D467">
        <f>COUNTIF(Sheet1!H:H,Planilha1!B467)</f>
        <v>1</v>
      </c>
      <c r="E467" s="3">
        <f>SUMIF(Sheet1!$H:$H,Planilha1!$B467,Sheet1!C:C)</f>
        <v>12</v>
      </c>
      <c r="F467" s="3">
        <f>SUMIF(Sheet1!$H:$H,Planilha1!$B467,Sheet1!O:O)</f>
        <v>13.026004776358601</v>
      </c>
      <c r="G467" s="3">
        <f>E467/F467</f>
        <v>0.92123411637152652</v>
      </c>
      <c r="H467" s="4">
        <f>E467/D467</f>
        <v>12</v>
      </c>
    </row>
    <row r="468" spans="2:8" x14ac:dyDescent="0.25">
      <c r="B468" t="str">
        <v>Sebastián Driussi</v>
      </c>
      <c r="C468" s="3">
        <f>AVERAGEIF(Sheet1!$H:$H,Planilha1!B468,Sheet1!X:X)</f>
        <v>1.155925823599584</v>
      </c>
      <c r="D468">
        <f>COUNTIF(Sheet1!H:H,Planilha1!B468)</f>
        <v>1</v>
      </c>
      <c r="E468" s="3">
        <f>SUMIF(Sheet1!$H:$H,Planilha1!$B468,Sheet1!C:C)</f>
        <v>11</v>
      </c>
      <c r="F468" s="3">
        <f>SUMIF(Sheet1!$H:$H,Planilha1!$B468,Sheet1!O:O)</f>
        <v>9.5161815537139756</v>
      </c>
      <c r="G468" s="3">
        <f>E468/F468</f>
        <v>1.1559258235995844</v>
      </c>
      <c r="H468" s="4">
        <f>E468/D468</f>
        <v>11</v>
      </c>
    </row>
    <row r="469" spans="2:8" x14ac:dyDescent="0.25">
      <c r="B469" t="str">
        <v>Sebastian Polter</v>
      </c>
      <c r="C469" s="3">
        <f>AVERAGEIF(Sheet1!$H:$H,Planilha1!B469,Sheet1!X:X)</f>
        <v>0.91419748433774917</v>
      </c>
      <c r="D469">
        <f>COUNTIF(Sheet1!H:H,Planilha1!B469)</f>
        <v>1</v>
      </c>
      <c r="E469" s="3">
        <f>SUMIF(Sheet1!$H:$H,Planilha1!$B469,Sheet1!C:C)</f>
        <v>10</v>
      </c>
      <c r="F469" s="3">
        <f>SUMIF(Sheet1!$H:$H,Planilha1!$B469,Sheet1!O:O)</f>
        <v>10.938555587083099</v>
      </c>
      <c r="G469" s="3">
        <f>E469/F469</f>
        <v>0.91419748433774917</v>
      </c>
      <c r="H469" s="4">
        <f>E469/D469</f>
        <v>10</v>
      </c>
    </row>
    <row r="470" spans="2:8" x14ac:dyDescent="0.25">
      <c r="B470" t="str">
        <v>Sébastien Haller</v>
      </c>
      <c r="C470" s="3">
        <f>AVERAGEIF(Sheet1!$H:$H,Planilha1!B470,Sheet1!X:X)</f>
        <v>1.095300189439381</v>
      </c>
      <c r="D470">
        <f>COUNTIF(Sheet1!H:H,Planilha1!B470)</f>
        <v>1</v>
      </c>
      <c r="E470" s="3">
        <f>SUMIF(Sheet1!$H:$H,Planilha1!$B470,Sheet1!C:C)</f>
        <v>15</v>
      </c>
      <c r="F470" s="3">
        <f>SUMIF(Sheet1!$H:$H,Planilha1!$B470,Sheet1!O:O)</f>
        <v>13.69487574696541</v>
      </c>
      <c r="G470" s="3">
        <f>E470/F470</f>
        <v>1.0953001894393812</v>
      </c>
      <c r="H470" s="4">
        <f>E470/D470</f>
        <v>15</v>
      </c>
    </row>
    <row r="471" spans="2:8" x14ac:dyDescent="0.25">
      <c r="B471" t="str">
        <v>Sepe Elye Wahi</v>
      </c>
      <c r="C471" s="3">
        <f>AVERAGEIF(Sheet1!$H:$H,Planilha1!B471,Sheet1!X:X)</f>
        <v>1.235363723715033</v>
      </c>
      <c r="D471">
        <f>COUNTIF(Sheet1!H:H,Planilha1!B471)</f>
        <v>2</v>
      </c>
      <c r="E471" s="3">
        <f>SUMIF(Sheet1!$H:$H,Planilha1!$B471,Sheet1!C:C)</f>
        <v>29</v>
      </c>
      <c r="F471" s="3">
        <f>SUMIF(Sheet1!$H:$H,Planilha1!$B471,Sheet1!O:O)</f>
        <v>23.123328190762553</v>
      </c>
      <c r="G471" s="3">
        <f>E471/F471</f>
        <v>1.2541447217613377</v>
      </c>
      <c r="H471" s="4">
        <f>E471/D471</f>
        <v>14.5</v>
      </c>
    </row>
    <row r="472" spans="2:8" x14ac:dyDescent="0.25">
      <c r="B472" t="str">
        <v>Serge Gnabry</v>
      </c>
      <c r="C472" s="3">
        <f>AVERAGEIF(Sheet1!$H:$H,Planilha1!B472,Sheet1!X:X)</f>
        <v>1.3487526786730932</v>
      </c>
      <c r="D472">
        <f>COUNTIF(Sheet1!H:H,Planilha1!B472)</f>
        <v>5</v>
      </c>
      <c r="E472" s="3">
        <f>SUMIF(Sheet1!$H:$H,Planilha1!$B472,Sheet1!C:C)</f>
        <v>57</v>
      </c>
      <c r="F472" s="3">
        <f>SUMIF(Sheet1!$H:$H,Planilha1!$B472,Sheet1!O:O)</f>
        <v>46.695097064599395</v>
      </c>
      <c r="G472" s="3">
        <f>E472/F472</f>
        <v>1.2206849023387722</v>
      </c>
      <c r="H472" s="4">
        <f>E472/D472</f>
        <v>11.4</v>
      </c>
    </row>
    <row r="473" spans="2:8" x14ac:dyDescent="0.25">
      <c r="B473" t="str">
        <v>Sergi Enrich</v>
      </c>
      <c r="C473" s="3">
        <f>AVERAGEIF(Sheet1!$H:$H,Planilha1!B473,Sheet1!X:X)</f>
        <v>1.3369691979230689</v>
      </c>
      <c r="D473">
        <f>COUNTIF(Sheet1!H:H,Planilha1!B473)</f>
        <v>1</v>
      </c>
      <c r="E473" s="3">
        <f>SUMIF(Sheet1!$H:$H,Planilha1!$B473,Sheet1!C:C)</f>
        <v>11</v>
      </c>
      <c r="F473" s="3">
        <f>SUMIF(Sheet1!$H:$H,Planilha1!$B473,Sheet1!O:O)</f>
        <v>8.2275642678141594</v>
      </c>
      <c r="G473" s="3">
        <f>E473/F473</f>
        <v>1.3369691979230691</v>
      </c>
      <c r="H473" s="4">
        <f>E473/D473</f>
        <v>11</v>
      </c>
    </row>
    <row r="474" spans="2:8" x14ac:dyDescent="0.25">
      <c r="B474" t="str">
        <v>Sergio Agüero</v>
      </c>
      <c r="C474" s="3">
        <f>AVERAGEIF(Sheet1!$H:$H,Planilha1!B474,Sheet1!X:X)</f>
        <v>1.0530745051729524</v>
      </c>
      <c r="D474">
        <f>COUNTIF(Sheet1!H:H,Planilha1!B474)</f>
        <v>6</v>
      </c>
      <c r="E474" s="3">
        <f>SUMIF(Sheet1!$H:$H,Planilha1!$B474,Sheet1!C:C)</f>
        <v>128</v>
      </c>
      <c r="F474" s="3">
        <f>SUMIF(Sheet1!$H:$H,Planilha1!$B474,Sheet1!O:O)</f>
        <v>122.09526386111972</v>
      </c>
      <c r="G474" s="3">
        <f>E474/F474</f>
        <v>1.0483617132405461</v>
      </c>
      <c r="H474" s="4">
        <f>E474/D474</f>
        <v>21.333333333333332</v>
      </c>
    </row>
    <row r="475" spans="2:8" x14ac:dyDescent="0.25">
      <c r="B475" t="str">
        <v>Sergio García</v>
      </c>
      <c r="C475" s="3">
        <f>AVERAGEIF(Sheet1!$H:$H,Planilha1!B475,Sheet1!X:X)</f>
        <v>1.363092210032673</v>
      </c>
      <c r="D475">
        <f>COUNTIF(Sheet1!H:H,Planilha1!B475)</f>
        <v>1</v>
      </c>
      <c r="E475" s="3">
        <f>SUMIF(Sheet1!$H:$H,Planilha1!$B475,Sheet1!C:C)</f>
        <v>14</v>
      </c>
      <c r="F475" s="3">
        <f>SUMIF(Sheet1!$H:$H,Planilha1!$B475,Sheet1!O:O)</f>
        <v>10.270765174180269</v>
      </c>
      <c r="G475" s="3">
        <f>E475/F475</f>
        <v>1.3630922100326734</v>
      </c>
      <c r="H475" s="4">
        <f>E475/D475</f>
        <v>14</v>
      </c>
    </row>
    <row r="476" spans="2:8" x14ac:dyDescent="0.25">
      <c r="B476" t="str">
        <v>Sergio León</v>
      </c>
      <c r="C476" s="3">
        <f>AVERAGEIF(Sheet1!$H:$H,Planilha1!B476,Sheet1!X:X)</f>
        <v>1.283397222997944</v>
      </c>
      <c r="D476">
        <f>COUNTIF(Sheet1!H:H,Planilha1!B476)</f>
        <v>2</v>
      </c>
      <c r="E476" s="3">
        <f>SUMIF(Sheet1!$H:$H,Planilha1!$B476,Sheet1!C:C)</f>
        <v>21</v>
      </c>
      <c r="F476" s="3">
        <f>SUMIF(Sheet1!$H:$H,Planilha1!$B476,Sheet1!O:O)</f>
        <v>16.849497718736533</v>
      </c>
      <c r="G476" s="3">
        <f>E476/F476</f>
        <v>1.2463279529483027</v>
      </c>
      <c r="H476" s="4">
        <f>E476/D476</f>
        <v>10.5</v>
      </c>
    </row>
    <row r="477" spans="2:8" x14ac:dyDescent="0.25">
      <c r="B477" t="str">
        <v>Serhou Guirassy</v>
      </c>
      <c r="C477" s="3">
        <f>AVERAGEIF(Sheet1!$H:$H,Planilha1!B477,Sheet1!X:X)</f>
        <v>1.0474036726398313</v>
      </c>
      <c r="D477">
        <f>COUNTIF(Sheet1!H:H,Planilha1!B477)</f>
        <v>4</v>
      </c>
      <c r="E477" s="3">
        <f>SUMIF(Sheet1!$H:$H,Planilha1!$B477,Sheet1!C:C)</f>
        <v>70</v>
      </c>
      <c r="F477" s="3">
        <f>SUMIF(Sheet1!$H:$H,Planilha1!$B477,Sheet1!O:O)</f>
        <v>68.289330612868071</v>
      </c>
      <c r="G477" s="3">
        <f>E477/F477</f>
        <v>1.0250503171107315</v>
      </c>
      <c r="H477" s="4">
        <f>E477/D477</f>
        <v>17.5</v>
      </c>
    </row>
    <row r="478" spans="2:8" x14ac:dyDescent="0.25">
      <c r="B478" t="str">
        <v>Shane Long</v>
      </c>
      <c r="C478" s="3">
        <f>AVERAGEIF(Sheet1!$H:$H,Planilha1!B478,Sheet1!X:X)</f>
        <v>0.94185069162779422</v>
      </c>
      <c r="D478">
        <f>COUNTIF(Sheet1!H:H,Planilha1!B478)</f>
        <v>1</v>
      </c>
      <c r="E478" s="3">
        <f>SUMIF(Sheet1!$H:$H,Planilha1!$B478,Sheet1!C:C)</f>
        <v>10</v>
      </c>
      <c r="F478" s="3">
        <f>SUMIF(Sheet1!$H:$H,Planilha1!$B478,Sheet1!O:O)</f>
        <v>10.617394125089049</v>
      </c>
      <c r="G478" s="3">
        <f>E478/F478</f>
        <v>0.94185069162779422</v>
      </c>
      <c r="H478" s="4">
        <f>E478/D478</f>
        <v>10</v>
      </c>
    </row>
    <row r="479" spans="2:8" x14ac:dyDescent="0.25">
      <c r="B479" t="str">
        <v>Sheraldo Becker</v>
      </c>
      <c r="C479" s="3">
        <f>AVERAGEIF(Sheet1!$H:$H,Planilha1!B479,Sheet1!X:X)</f>
        <v>1.927464683520044</v>
      </c>
      <c r="D479">
        <f>COUNTIF(Sheet1!H:H,Planilha1!B479)</f>
        <v>1</v>
      </c>
      <c r="E479" s="3">
        <f>SUMIF(Sheet1!$H:$H,Planilha1!$B479,Sheet1!C:C)</f>
        <v>11</v>
      </c>
      <c r="F479" s="3">
        <f>SUMIF(Sheet1!$H:$H,Planilha1!$B479,Sheet1!O:O)</f>
        <v>5.7069787550717592</v>
      </c>
      <c r="G479" s="3">
        <f>E479/F479</f>
        <v>1.9274646835200435</v>
      </c>
      <c r="H479" s="4">
        <f>E479/D479</f>
        <v>11</v>
      </c>
    </row>
    <row r="480" spans="2:8" x14ac:dyDescent="0.25">
      <c r="B480" t="str">
        <v>Shinji Okazaki</v>
      </c>
      <c r="C480" s="3">
        <f>AVERAGEIF(Sheet1!$H:$H,Planilha1!B480,Sheet1!X:X)</f>
        <v>1.220416995398141</v>
      </c>
      <c r="D480">
        <f>COUNTIF(Sheet1!H:H,Planilha1!B480)</f>
        <v>1</v>
      </c>
      <c r="E480" s="3">
        <f>SUMIF(Sheet1!$H:$H,Planilha1!$B480,Sheet1!C:C)</f>
        <v>12</v>
      </c>
      <c r="F480" s="3">
        <f>SUMIF(Sheet1!$H:$H,Planilha1!$B480,Sheet1!O:O)</f>
        <v>9.8327047601342201</v>
      </c>
      <c r="G480" s="3">
        <f>E480/F480</f>
        <v>1.2204169953981405</v>
      </c>
      <c r="H480" s="4">
        <f>E480/D480</f>
        <v>12</v>
      </c>
    </row>
    <row r="481" spans="2:8" x14ac:dyDescent="0.25">
      <c r="B481" t="str">
        <v>Shuto Machino</v>
      </c>
      <c r="C481" s="3">
        <f>AVERAGEIF(Sheet1!$H:$H,Planilha1!B481,Sheet1!X:X)</f>
        <v>1.3328430795697019</v>
      </c>
      <c r="D481">
        <f>COUNTIF(Sheet1!H:H,Planilha1!B481)</f>
        <v>1</v>
      </c>
      <c r="E481" s="3">
        <f>SUMIF(Sheet1!$H:$H,Planilha1!$B481,Sheet1!C:C)</f>
        <v>11</v>
      </c>
      <c r="F481" s="3">
        <f>SUMIF(Sheet1!$H:$H,Planilha1!$B481,Sheet1!O:O)</f>
        <v>8.2530345609411597</v>
      </c>
      <c r="G481" s="3">
        <f>E481/F481</f>
        <v>1.3328430795697022</v>
      </c>
      <c r="H481" s="4">
        <f>E481/D481</f>
        <v>11</v>
      </c>
    </row>
    <row r="482" spans="2:8" x14ac:dyDescent="0.25">
      <c r="B482" t="str">
        <v>Simone Verdi</v>
      </c>
      <c r="C482" s="3">
        <f>AVERAGEIF(Sheet1!$H:$H,Planilha1!B482,Sheet1!X:X)</f>
        <v>1.2920979090715079</v>
      </c>
      <c r="D482">
        <f>COUNTIF(Sheet1!H:H,Planilha1!B482)</f>
        <v>1</v>
      </c>
      <c r="E482" s="3">
        <f>SUMIF(Sheet1!$H:$H,Planilha1!$B482,Sheet1!C:C)</f>
        <v>10</v>
      </c>
      <c r="F482" s="3">
        <f>SUMIF(Sheet1!$H:$H,Planilha1!$B482,Sheet1!O:O)</f>
        <v>7.7393515845760703</v>
      </c>
      <c r="G482" s="3">
        <f>E482/F482</f>
        <v>1.2920979090715077</v>
      </c>
      <c r="H482" s="4">
        <f>E482/D482</f>
        <v>10</v>
      </c>
    </row>
    <row r="483" spans="2:8" x14ac:dyDescent="0.25">
      <c r="B483" t="str">
        <v>Simone Zaza</v>
      </c>
      <c r="C483" s="3">
        <f>AVERAGEIF(Sheet1!$H:$H,Planilha1!B483,Sheet1!X:X)</f>
        <v>1.1680206006856966</v>
      </c>
      <c r="D483">
        <f>COUNTIF(Sheet1!H:H,Planilha1!B483)</f>
        <v>2</v>
      </c>
      <c r="E483" s="3">
        <f>SUMIF(Sheet1!$H:$H,Planilha1!$B483,Sheet1!C:C)</f>
        <v>24</v>
      </c>
      <c r="F483" s="3">
        <f>SUMIF(Sheet1!$H:$H,Planilha1!$B483,Sheet1!O:O)</f>
        <v>20.533795520663261</v>
      </c>
      <c r="G483" s="3">
        <f>E483/F483</f>
        <v>1.1688048600585643</v>
      </c>
      <c r="H483" s="4">
        <f>E483/D483</f>
        <v>12</v>
      </c>
    </row>
    <row r="484" spans="2:8" x14ac:dyDescent="0.25">
      <c r="B484" t="str">
        <v>Simy</v>
      </c>
      <c r="C484" s="3">
        <f>AVERAGEIF(Sheet1!$H:$H,Planilha1!B484,Sheet1!X:X)</f>
        <v>1.1445654915046899</v>
      </c>
      <c r="D484">
        <f>COUNTIF(Sheet1!H:H,Planilha1!B484)</f>
        <v>1</v>
      </c>
      <c r="E484" s="3">
        <f>SUMIF(Sheet1!$H:$H,Planilha1!$B484,Sheet1!C:C)</f>
        <v>20</v>
      </c>
      <c r="F484" s="3">
        <f>SUMIF(Sheet1!$H:$H,Planilha1!$B484,Sheet1!O:O)</f>
        <v>17.473879955708981</v>
      </c>
      <c r="G484" s="3">
        <f>E484/F484</f>
        <v>1.1445654915046899</v>
      </c>
      <c r="H484" s="4">
        <f>E484/D484</f>
        <v>20</v>
      </c>
    </row>
    <row r="485" spans="2:8" x14ac:dyDescent="0.25">
      <c r="B485" t="str">
        <v>Sofiane Boufal</v>
      </c>
      <c r="C485" s="3">
        <f>AVERAGEIF(Sheet1!$H:$H,Planilha1!B485,Sheet1!X:X)</f>
        <v>2.2797266235359892</v>
      </c>
      <c r="D485">
        <f>COUNTIF(Sheet1!H:H,Planilha1!B485)</f>
        <v>1</v>
      </c>
      <c r="E485" s="3">
        <f>SUMIF(Sheet1!$H:$H,Planilha1!$B485,Sheet1!C:C)</f>
        <v>11</v>
      </c>
      <c r="F485" s="3">
        <f>SUMIF(Sheet1!$H:$H,Planilha1!$B485,Sheet1!O:O)</f>
        <v>4.8251399472355843</v>
      </c>
      <c r="G485" s="3">
        <f>E485/F485</f>
        <v>2.2797266235359892</v>
      </c>
      <c r="H485" s="4">
        <f>E485/D485</f>
        <v>11</v>
      </c>
    </row>
    <row r="486" spans="2:8" x14ac:dyDescent="0.25">
      <c r="B486" t="str">
        <v>Son Heung-Min</v>
      </c>
      <c r="C486" s="3">
        <f>AVERAGEIF(Sheet1!$H:$H,Planilha1!B486,Sheet1!X:X)</f>
        <v>1.3741549041074417</v>
      </c>
      <c r="D486">
        <f>COUNTIF(Sheet1!H:H,Planilha1!B486)</f>
        <v>7</v>
      </c>
      <c r="E486" s="3">
        <f>SUMIF(Sheet1!$H:$H,Planilha1!$B486,Sheet1!C:C)</f>
        <v>104</v>
      </c>
      <c r="F486" s="3">
        <f>SUMIF(Sheet1!$H:$H,Planilha1!$B486,Sheet1!O:O)</f>
        <v>76.422066773287952</v>
      </c>
      <c r="G486" s="3">
        <f>E486/F486</f>
        <v>1.3608634834297815</v>
      </c>
      <c r="H486" s="4">
        <f>E486/D486</f>
        <v>14.857142857142858</v>
      </c>
    </row>
    <row r="487" spans="2:8" x14ac:dyDescent="0.25">
      <c r="B487" t="str">
        <v>Stephan El Shaarawy</v>
      </c>
      <c r="C487" s="3">
        <f>AVERAGEIF(Sheet1!$H:$H,Planilha1!B487,Sheet1!X:X)</f>
        <v>1.2762593112133791</v>
      </c>
      <c r="D487">
        <f>COUNTIF(Sheet1!H:H,Planilha1!B487)</f>
        <v>1</v>
      </c>
      <c r="E487" s="3">
        <f>SUMIF(Sheet1!$H:$H,Planilha1!$B487,Sheet1!C:C)</f>
        <v>11</v>
      </c>
      <c r="F487" s="3">
        <f>SUMIF(Sheet1!$H:$H,Planilha1!$B487,Sheet1!O:O)</f>
        <v>8.618938097730279</v>
      </c>
      <c r="G487" s="3">
        <f>E487/F487</f>
        <v>1.2762593112133793</v>
      </c>
      <c r="H487" s="4">
        <f>E487/D487</f>
        <v>11</v>
      </c>
    </row>
    <row r="488" spans="2:8" x14ac:dyDescent="0.25">
      <c r="B488" t="str">
        <v>Stéphane Bahoken</v>
      </c>
      <c r="C488" s="3">
        <f>AVERAGEIF(Sheet1!$H:$H,Planilha1!B488,Sheet1!X:X)</f>
        <v>1.186598351002651</v>
      </c>
      <c r="D488">
        <f>COUNTIF(Sheet1!H:H,Planilha1!B488)</f>
        <v>1</v>
      </c>
      <c r="E488" s="3">
        <f>SUMIF(Sheet1!$H:$H,Planilha1!$B488,Sheet1!C:C)</f>
        <v>11</v>
      </c>
      <c r="F488" s="3">
        <f>SUMIF(Sheet1!$H:$H,Planilha1!$B488,Sheet1!O:O)</f>
        <v>9.2701966008171439</v>
      </c>
      <c r="G488" s="3">
        <f>E488/F488</f>
        <v>1.1865983510026505</v>
      </c>
      <c r="H488" s="4">
        <f>E488/D488</f>
        <v>11</v>
      </c>
    </row>
    <row r="489" spans="2:8" x14ac:dyDescent="0.25">
      <c r="B489" t="str">
        <v>Steve Mounie</v>
      </c>
      <c r="C489" s="3">
        <f>AVERAGEIF(Sheet1!$H:$H,Planilha1!B489,Sheet1!X:X)</f>
        <v>1.204341813668393</v>
      </c>
      <c r="D489">
        <f>COUNTIF(Sheet1!H:H,Planilha1!B489)</f>
        <v>1</v>
      </c>
      <c r="E489" s="3">
        <f>SUMIF(Sheet1!$H:$H,Planilha1!$B489,Sheet1!C:C)</f>
        <v>14</v>
      </c>
      <c r="F489" s="3">
        <f>SUMIF(Sheet1!$H:$H,Planilha1!$B489,Sheet1!O:O)</f>
        <v>11.62460676953196</v>
      </c>
      <c r="G489" s="3">
        <f>E489/F489</f>
        <v>1.204341813668393</v>
      </c>
      <c r="H489" s="4">
        <f>E489/D489</f>
        <v>14</v>
      </c>
    </row>
    <row r="490" spans="2:8" x14ac:dyDescent="0.25">
      <c r="B490" t="str">
        <v>Taiwo Awoniyi</v>
      </c>
      <c r="C490" s="3">
        <f>AVERAGEIF(Sheet1!$H:$H,Planilha1!B490,Sheet1!X:X)</f>
        <v>1.1260805163632841</v>
      </c>
      <c r="D490">
        <f>COUNTIF(Sheet1!H:H,Planilha1!B490)</f>
        <v>2</v>
      </c>
      <c r="E490" s="3">
        <f>SUMIF(Sheet1!$H:$H,Planilha1!$B490,Sheet1!C:C)</f>
        <v>25</v>
      </c>
      <c r="F490" s="3">
        <f>SUMIF(Sheet1!$H:$H,Planilha1!$B490,Sheet1!O:O)</f>
        <v>22.90127869322896</v>
      </c>
      <c r="G490" s="3">
        <f>E490/F490</f>
        <v>1.0916421015125042</v>
      </c>
      <c r="H490" s="4">
        <f>E490/D490</f>
        <v>12.5</v>
      </c>
    </row>
    <row r="491" spans="2:8" x14ac:dyDescent="0.25">
      <c r="B491" t="str">
        <v>Takumi Minamino</v>
      </c>
      <c r="C491" s="3">
        <f>AVERAGEIF(Sheet1!$H:$H,Planilha1!B491,Sheet1!X:X)</f>
        <v>1.4195387472532739</v>
      </c>
      <c r="D491">
        <f>COUNTIF(Sheet1!H:H,Planilha1!B491)</f>
        <v>1</v>
      </c>
      <c r="E491" s="3">
        <f>SUMIF(Sheet1!$H:$H,Planilha1!$B491,Sheet1!C:C)</f>
        <v>10</v>
      </c>
      <c r="F491" s="3">
        <f>SUMIF(Sheet1!$H:$H,Planilha1!$B491,Sheet1!O:O)</f>
        <v>7.0445417705923319</v>
      </c>
      <c r="G491" s="3">
        <f>E491/F491</f>
        <v>1.4195387472532741</v>
      </c>
      <c r="H491" s="4">
        <f>E491/D491</f>
        <v>10</v>
      </c>
    </row>
    <row r="492" spans="2:8" x14ac:dyDescent="0.25">
      <c r="B492" t="str">
        <v>Tammy Abraham</v>
      </c>
      <c r="C492" s="3">
        <f>AVERAGEIF(Sheet1!$H:$H,Planilha1!B492,Sheet1!X:X)</f>
        <v>0.82016369555611868</v>
      </c>
      <c r="D492">
        <f>COUNTIF(Sheet1!H:H,Planilha1!B492)</f>
        <v>2</v>
      </c>
      <c r="E492" s="3">
        <f>SUMIF(Sheet1!$H:$H,Planilha1!$B492,Sheet1!C:C)</f>
        <v>32</v>
      </c>
      <c r="F492" s="3">
        <f>SUMIF(Sheet1!$H:$H,Planilha1!$B492,Sheet1!O:O)</f>
        <v>39.049491414800286</v>
      </c>
      <c r="G492" s="3">
        <f>E492/F492</f>
        <v>0.81947290068601419</v>
      </c>
      <c r="H492" s="4">
        <f>E492/D492</f>
        <v>16</v>
      </c>
    </row>
    <row r="493" spans="2:8" x14ac:dyDescent="0.25">
      <c r="B493" t="str">
        <v>Teemu Pukki</v>
      </c>
      <c r="C493" s="3">
        <f>AVERAGEIF(Sheet1!$H:$H,Planilha1!B493,Sheet1!X:X)</f>
        <v>0.95762015744783335</v>
      </c>
      <c r="D493">
        <f>COUNTIF(Sheet1!H:H,Planilha1!B493)</f>
        <v>2</v>
      </c>
      <c r="E493" s="3">
        <f>SUMIF(Sheet1!$H:$H,Planilha1!$B493,Sheet1!C:C)</f>
        <v>22</v>
      </c>
      <c r="F493" s="3">
        <f>SUMIF(Sheet1!$H:$H,Planilha1!$B493,Sheet1!O:O)</f>
        <v>22.973862005397681</v>
      </c>
      <c r="G493" s="3">
        <f>E493/F493</f>
        <v>0.95761000021812293</v>
      </c>
      <c r="H493" s="4">
        <f>E493/D493</f>
        <v>11</v>
      </c>
    </row>
    <row r="494" spans="2:8" x14ac:dyDescent="0.25">
      <c r="B494" t="str">
        <v>Terem Igobor Moffi</v>
      </c>
      <c r="C494" s="3">
        <f>AVERAGEIF(Sheet1!$H:$H,Planilha1!B494,Sheet1!X:X)</f>
        <v>1.1341656366166866</v>
      </c>
      <c r="D494">
        <f>COUNTIF(Sheet1!H:H,Planilha1!B494)</f>
        <v>3</v>
      </c>
      <c r="E494" s="3">
        <f>SUMIF(Sheet1!$H:$H,Planilha1!$B494,Sheet1!C:C)</f>
        <v>43</v>
      </c>
      <c r="F494" s="3">
        <f>SUMIF(Sheet1!$H:$H,Planilha1!$B494,Sheet1!O:O)</f>
        <v>38.237641761079431</v>
      </c>
      <c r="G494" s="3">
        <f>E494/F494</f>
        <v>1.1245463375769158</v>
      </c>
      <c r="H494" s="4">
        <f>E494/D494</f>
        <v>14.333333333333334</v>
      </c>
    </row>
    <row r="495" spans="2:8" x14ac:dyDescent="0.25">
      <c r="B495" t="str">
        <v>Teun Koopmeiners</v>
      </c>
      <c r="C495" s="3">
        <f>AVERAGEIF(Sheet1!$H:$H,Planilha1!B495,Sheet1!X:X)</f>
        <v>1.8526581501126549</v>
      </c>
      <c r="D495">
        <f>COUNTIF(Sheet1!H:H,Planilha1!B495)</f>
        <v>1</v>
      </c>
      <c r="E495" s="3">
        <f>SUMIF(Sheet1!$H:$H,Planilha1!$B495,Sheet1!C:C)</f>
        <v>12</v>
      </c>
      <c r="F495" s="3">
        <f>SUMIF(Sheet1!$H:$H,Planilha1!$B495,Sheet1!O:O)</f>
        <v>6.477179829031229</v>
      </c>
      <c r="G495" s="3">
        <f>E495/F495</f>
        <v>1.8526581501126551</v>
      </c>
      <c r="H495" s="4">
        <f>E495/D495</f>
        <v>12</v>
      </c>
    </row>
    <row r="496" spans="2:8" x14ac:dyDescent="0.25">
      <c r="B496" t="str">
        <v>Theo Walcott</v>
      </c>
      <c r="C496" s="3">
        <f>AVERAGEIF(Sheet1!$H:$H,Planilha1!B496,Sheet1!X:X)</f>
        <v>1.009950310329736</v>
      </c>
      <c r="D496">
        <f>COUNTIF(Sheet1!H:H,Planilha1!B496)</f>
        <v>1</v>
      </c>
      <c r="E496" s="3">
        <f>SUMIF(Sheet1!$H:$H,Planilha1!$B496,Sheet1!C:C)</f>
        <v>10</v>
      </c>
      <c r="F496" s="3">
        <f>SUMIF(Sheet1!$H:$H,Planilha1!$B496,Sheet1!O:O)</f>
        <v>9.9014772288501263</v>
      </c>
      <c r="G496" s="3">
        <f>E496/F496</f>
        <v>1.009950310329736</v>
      </c>
      <c r="H496" s="4">
        <f>E496/D496</f>
        <v>10</v>
      </c>
    </row>
    <row r="497" spans="2:8" x14ac:dyDescent="0.25">
      <c r="B497" t="str">
        <v>Thierno Barry</v>
      </c>
      <c r="C497" s="3">
        <f>AVERAGEIF(Sheet1!$H:$H,Planilha1!B497,Sheet1!X:X)</f>
        <v>0.73043236680386492</v>
      </c>
      <c r="D497">
        <f>COUNTIF(Sheet1!H:H,Planilha1!B497)</f>
        <v>1</v>
      </c>
      <c r="E497" s="3">
        <f>SUMIF(Sheet1!$H:$H,Planilha1!$B497,Sheet1!C:C)</f>
        <v>11</v>
      </c>
      <c r="F497" s="3">
        <f>SUMIF(Sheet1!$H:$H,Planilha1!$B497,Sheet1!O:O)</f>
        <v>15.0595736168325</v>
      </c>
      <c r="G497" s="3">
        <f>E497/F497</f>
        <v>0.7304323668038647</v>
      </c>
      <c r="H497" s="4">
        <f>E497/D497</f>
        <v>11</v>
      </c>
    </row>
    <row r="498" spans="2:8" x14ac:dyDescent="0.25">
      <c r="B498" t="str">
        <v>Thijs Dallinga</v>
      </c>
      <c r="C498" s="3">
        <f>AVERAGEIF(Sheet1!$H:$H,Planilha1!B498,Sheet1!X:X)</f>
        <v>0.90347434220005296</v>
      </c>
      <c r="D498">
        <f>COUNTIF(Sheet1!H:H,Planilha1!B498)</f>
        <v>2</v>
      </c>
      <c r="E498" s="3">
        <f>SUMIF(Sheet1!$H:$H,Planilha1!$B498,Sheet1!C:C)</f>
        <v>26</v>
      </c>
      <c r="F498" s="3">
        <f>SUMIF(Sheet1!$H:$H,Planilha1!$B498,Sheet1!O:O)</f>
        <v>28.842000359669328</v>
      </c>
      <c r="G498" s="3">
        <f>E498/F498</f>
        <v>0.90146313278452816</v>
      </c>
      <c r="H498" s="4">
        <f>E498/D498</f>
        <v>13</v>
      </c>
    </row>
    <row r="499" spans="2:8" x14ac:dyDescent="0.25">
      <c r="B499" t="str">
        <v>Thomas Müller</v>
      </c>
      <c r="C499" s="3">
        <f>AVERAGEIF(Sheet1!$H:$H,Planilha1!B499,Sheet1!X:X)</f>
        <v>1.0318877198537939</v>
      </c>
      <c r="D499">
        <f>COUNTIF(Sheet1!H:H,Planilha1!B499)</f>
        <v>2</v>
      </c>
      <c r="E499" s="3">
        <f>SUMIF(Sheet1!$H:$H,Planilha1!$B499,Sheet1!C:C)</f>
        <v>33</v>
      </c>
      <c r="F499" s="3">
        <f>SUMIF(Sheet1!$H:$H,Planilha1!$B499,Sheet1!O:O)</f>
        <v>31.616492265835412</v>
      </c>
      <c r="G499" s="3">
        <f>E499/F499</f>
        <v>1.0437590521596096</v>
      </c>
      <c r="H499" s="4">
        <f>E499/D499</f>
        <v>16.5</v>
      </c>
    </row>
    <row r="500" spans="2:8" x14ac:dyDescent="0.25">
      <c r="B500" t="str">
        <v>Thorgan Hazard</v>
      </c>
      <c r="C500" s="3">
        <f>AVERAGEIF(Sheet1!$H:$H,Planilha1!B500,Sheet1!X:X)</f>
        <v>0.86418430800163959</v>
      </c>
      <c r="D500">
        <f>COUNTIF(Sheet1!H:H,Planilha1!B500)</f>
        <v>2</v>
      </c>
      <c r="E500" s="3">
        <f>SUMIF(Sheet1!$H:$H,Planilha1!$B500,Sheet1!C:C)</f>
        <v>20</v>
      </c>
      <c r="F500" s="3">
        <f>SUMIF(Sheet1!$H:$H,Planilha1!$B500,Sheet1!O:O)</f>
        <v>24.016227309592068</v>
      </c>
      <c r="G500" s="3">
        <f>E500/F500</f>
        <v>0.83277026579491154</v>
      </c>
      <c r="H500" s="4">
        <f>E500/D500</f>
        <v>10</v>
      </c>
    </row>
    <row r="501" spans="2:8" x14ac:dyDescent="0.25">
      <c r="B501" t="str">
        <v>Tim Kleindienst</v>
      </c>
      <c r="C501" s="3">
        <f>AVERAGEIF(Sheet1!$H:$H,Planilha1!B501,Sheet1!X:X)</f>
        <v>0.86899165464975714</v>
      </c>
      <c r="D501">
        <f>COUNTIF(Sheet1!H:H,Planilha1!B501)</f>
        <v>2</v>
      </c>
      <c r="E501" s="3">
        <f>SUMIF(Sheet1!$H:$H,Planilha1!$B501,Sheet1!C:C)</f>
        <v>28</v>
      </c>
      <c r="F501" s="3">
        <f>SUMIF(Sheet1!$H:$H,Planilha1!$B501,Sheet1!O:O)</f>
        <v>32.423292336985469</v>
      </c>
      <c r="G501" s="3">
        <f>E501/F501</f>
        <v>0.86357670618354232</v>
      </c>
      <c r="H501" s="4">
        <f>E501/D501</f>
        <v>14</v>
      </c>
    </row>
    <row r="502" spans="2:8" x14ac:dyDescent="0.25">
      <c r="B502" t="str">
        <v>Timo Werner</v>
      </c>
      <c r="C502" s="3">
        <f>AVERAGEIF(Sheet1!$H:$H,Planilha1!B502,Sheet1!X:X)</f>
        <v>1.1293455112416027</v>
      </c>
      <c r="D502">
        <f>COUNTIF(Sheet1!H:H,Planilha1!B502)</f>
        <v>4</v>
      </c>
      <c r="E502" s="3">
        <f>SUMIF(Sheet1!$H:$H,Planilha1!$B502,Sheet1!C:C)</f>
        <v>78</v>
      </c>
      <c r="F502" s="3">
        <f>SUMIF(Sheet1!$H:$H,Planilha1!$B502,Sheet1!O:O)</f>
        <v>68.937552373856306</v>
      </c>
      <c r="G502" s="3">
        <f>E502/F502</f>
        <v>1.1314587958823514</v>
      </c>
      <c r="H502" s="4">
        <f>E502/D502</f>
        <v>19.5</v>
      </c>
    </row>
    <row r="503" spans="2:8" x14ac:dyDescent="0.25">
      <c r="B503" t="str">
        <v>Timur Suleymanov</v>
      </c>
      <c r="C503" s="3">
        <f>AVERAGEIF(Sheet1!$H:$H,Planilha1!B503,Sheet1!X:X)</f>
        <v>1.461815802496498</v>
      </c>
      <c r="D503">
        <f>COUNTIF(Sheet1!H:H,Planilha1!B503)</f>
        <v>1</v>
      </c>
      <c r="E503" s="3">
        <f>SUMIF(Sheet1!$H:$H,Planilha1!$B503,Sheet1!C:C)</f>
        <v>10</v>
      </c>
      <c r="F503" s="3">
        <f>SUMIF(Sheet1!$H:$H,Planilha1!$B503,Sheet1!O:O)</f>
        <v>6.8408071543090054</v>
      </c>
      <c r="G503" s="3">
        <f>E503/F503</f>
        <v>1.4618158024964976</v>
      </c>
      <c r="H503" s="4">
        <f>E503/D503</f>
        <v>10</v>
      </c>
    </row>
    <row r="504" spans="2:8" x14ac:dyDescent="0.25">
      <c r="B504" t="str">
        <v>Tinotenda Kadewere</v>
      </c>
      <c r="C504" s="3">
        <f>AVERAGEIF(Sheet1!$H:$H,Planilha1!B504,Sheet1!X:X)</f>
        <v>0.94758160423333915</v>
      </c>
      <c r="D504">
        <f>COUNTIF(Sheet1!H:H,Planilha1!B504)</f>
        <v>1</v>
      </c>
      <c r="E504" s="3">
        <f>SUMIF(Sheet1!$H:$H,Planilha1!$B504,Sheet1!C:C)</f>
        <v>10</v>
      </c>
      <c r="F504" s="3">
        <f>SUMIF(Sheet1!$H:$H,Planilha1!$B504,Sheet1!O:O)</f>
        <v>10.55318080820143</v>
      </c>
      <c r="G504" s="3">
        <f>E504/F504</f>
        <v>0.94758160423333937</v>
      </c>
      <c r="H504" s="4">
        <f>E504/D504</f>
        <v>10</v>
      </c>
    </row>
    <row r="505" spans="2:8" x14ac:dyDescent="0.25">
      <c r="B505" t="str">
        <v>Troy Deeney</v>
      </c>
      <c r="C505" s="3">
        <f>AVERAGEIF(Sheet1!$H:$H,Planilha1!B505,Sheet1!X:X)</f>
        <v>1.0307300450089525</v>
      </c>
      <c r="D505">
        <f>COUNTIF(Sheet1!H:H,Planilha1!B505)</f>
        <v>3</v>
      </c>
      <c r="E505" s="3">
        <f>SUMIF(Sheet1!$H:$H,Planilha1!$B505,Sheet1!C:C)</f>
        <v>33</v>
      </c>
      <c r="F505" s="3">
        <f>SUMIF(Sheet1!$H:$H,Planilha1!$B505,Sheet1!O:O)</f>
        <v>32.381853507831693</v>
      </c>
      <c r="G505" s="3">
        <f>E505/F505</f>
        <v>1.0190892869062855</v>
      </c>
      <c r="H505" s="4">
        <f>E505/D505</f>
        <v>11</v>
      </c>
    </row>
    <row r="506" spans="2:8" x14ac:dyDescent="0.25">
      <c r="B506" t="str">
        <v>Valentín Castellanos</v>
      </c>
      <c r="C506" s="3">
        <f>AVERAGEIF(Sheet1!$H:$H,Planilha1!B506,Sheet1!X:X)</f>
        <v>0.77360406886006228</v>
      </c>
      <c r="D506">
        <f>COUNTIF(Sheet1!H:H,Planilha1!B506)</f>
        <v>2</v>
      </c>
      <c r="E506" s="3">
        <f>SUMIF(Sheet1!$H:$H,Planilha1!$B506,Sheet1!C:C)</f>
        <v>23</v>
      </c>
      <c r="F506" s="3">
        <f>SUMIF(Sheet1!$H:$H,Planilha1!$B506,Sheet1!O:O)</f>
        <v>30.150607469491661</v>
      </c>
      <c r="G506" s="3">
        <f>E506/F506</f>
        <v>0.76283703481838272</v>
      </c>
      <c r="H506" s="4">
        <f>E506/D506</f>
        <v>11.5</v>
      </c>
    </row>
    <row r="507" spans="2:8" x14ac:dyDescent="0.25">
      <c r="B507" t="str">
        <v>Valère Germain</v>
      </c>
      <c r="C507" s="3">
        <f>AVERAGEIF(Sheet1!$H:$H,Planilha1!B507,Sheet1!X:X)</f>
        <v>1.1318106366752914</v>
      </c>
      <c r="D507">
        <f>COUNTIF(Sheet1!H:H,Planilha1!B507)</f>
        <v>2</v>
      </c>
      <c r="E507" s="3">
        <f>SUMIF(Sheet1!$H:$H,Planilha1!$B507,Sheet1!C:C)</f>
        <v>24</v>
      </c>
      <c r="F507" s="3">
        <f>SUMIF(Sheet1!$H:$H,Planilha1!$B507,Sheet1!O:O)</f>
        <v>21.085736470296979</v>
      </c>
      <c r="G507" s="3">
        <f>E507/F507</f>
        <v>1.1382101845865464</v>
      </c>
      <c r="H507" s="4">
        <f>E507/D507</f>
        <v>12</v>
      </c>
    </row>
    <row r="508" spans="2:8" x14ac:dyDescent="0.25">
      <c r="B508" t="str">
        <v>Vedad Ibisevic</v>
      </c>
      <c r="C508" s="3">
        <f>AVERAGEIF(Sheet1!$H:$H,Planilha1!B508,Sheet1!X:X)</f>
        <v>0.89714526217974877</v>
      </c>
      <c r="D508">
        <f>COUNTIF(Sheet1!H:H,Planilha1!B508)</f>
        <v>3</v>
      </c>
      <c r="E508" s="3">
        <f>SUMIF(Sheet1!$H:$H,Planilha1!$B508,Sheet1!C:C)</f>
        <v>32</v>
      </c>
      <c r="F508" s="3">
        <f>SUMIF(Sheet1!$H:$H,Planilha1!$B508,Sheet1!O:O)</f>
        <v>35.803719788789749</v>
      </c>
      <c r="G508" s="3">
        <f>E508/F508</f>
        <v>0.89376188252985089</v>
      </c>
      <c r="H508" s="4">
        <f>E508/D508</f>
        <v>10.666666666666666</v>
      </c>
    </row>
    <row r="509" spans="2:8" x14ac:dyDescent="0.25">
      <c r="B509" t="str">
        <v>Vedat Muriqi</v>
      </c>
      <c r="C509" s="3">
        <f>AVERAGEIF(Sheet1!$H:$H,Planilha1!B509,Sheet1!X:X)</f>
        <v>1.075813825577739</v>
      </c>
      <c r="D509">
        <f>COUNTIF(Sheet1!H:H,Planilha1!B509)</f>
        <v>1</v>
      </c>
      <c r="E509" s="3">
        <f>SUMIF(Sheet1!$H:$H,Planilha1!$B509,Sheet1!C:C)</f>
        <v>15</v>
      </c>
      <c r="F509" s="3">
        <f>SUMIF(Sheet1!$H:$H,Planilha1!$B509,Sheet1!O:O)</f>
        <v>13.942932915873831</v>
      </c>
      <c r="G509" s="3">
        <f>E509/F509</f>
        <v>1.0758138255777385</v>
      </c>
      <c r="H509" s="4">
        <f>E509/D509</f>
        <v>15</v>
      </c>
    </row>
    <row r="510" spans="2:8" x14ac:dyDescent="0.25">
      <c r="B510" t="str">
        <v>Victor Boniface</v>
      </c>
      <c r="C510" s="3">
        <f>AVERAGEIF(Sheet1!$H:$H,Planilha1!B510,Sheet1!X:X)</f>
        <v>0.82400091356423033</v>
      </c>
      <c r="D510">
        <f>COUNTIF(Sheet1!H:H,Planilha1!B510)</f>
        <v>1</v>
      </c>
      <c r="E510" s="3">
        <f>SUMIF(Sheet1!$H:$H,Planilha1!$B510,Sheet1!C:C)</f>
        <v>14</v>
      </c>
      <c r="F510" s="3">
        <f>SUMIF(Sheet1!$H:$H,Planilha1!$B510,Sheet1!O:O)</f>
        <v>16.990272425115108</v>
      </c>
      <c r="G510" s="3">
        <f>E510/F510</f>
        <v>0.82400091356423033</v>
      </c>
      <c r="H510" s="4">
        <f>E510/D510</f>
        <v>14</v>
      </c>
    </row>
    <row r="511" spans="2:8" x14ac:dyDescent="0.25">
      <c r="B511" t="str">
        <v>Victor Osimhen</v>
      </c>
      <c r="C511" s="3">
        <f>AVERAGEIF(Sheet1!$H:$H,Planilha1!B511,Sheet1!X:X)</f>
        <v>0.94610121505294165</v>
      </c>
      <c r="D511">
        <f>COUNTIF(Sheet1!H:H,Planilha1!B511)</f>
        <v>5</v>
      </c>
      <c r="E511" s="3">
        <f>SUMIF(Sheet1!$H:$H,Planilha1!$B511,Sheet1!C:C)</f>
        <v>78</v>
      </c>
      <c r="F511" s="3">
        <f>SUMIF(Sheet1!$H:$H,Planilha1!$B511,Sheet1!O:O)</f>
        <v>82.727783715352416</v>
      </c>
      <c r="G511" s="3">
        <f>E511/F511</f>
        <v>0.94285131907292896</v>
      </c>
      <c r="H511" s="4">
        <f>E511/D511</f>
        <v>15.6</v>
      </c>
    </row>
    <row r="512" spans="2:8" x14ac:dyDescent="0.25">
      <c r="B512" t="str">
        <v>Viktor Claesson</v>
      </c>
      <c r="C512" s="3">
        <f>AVERAGEIF(Sheet1!$H:$H,Planilha1!B512,Sheet1!X:X)</f>
        <v>1.1014984385893156</v>
      </c>
      <c r="D512">
        <f>COUNTIF(Sheet1!H:H,Planilha1!B512)</f>
        <v>2</v>
      </c>
      <c r="E512" s="3">
        <f>SUMIF(Sheet1!$H:$H,Planilha1!$B512,Sheet1!C:C)</f>
        <v>22</v>
      </c>
      <c r="F512" s="3">
        <f>SUMIF(Sheet1!$H:$H,Planilha1!$B512,Sheet1!O:O)</f>
        <v>20.4831223860383</v>
      </c>
      <c r="G512" s="3">
        <f>E512/F512</f>
        <v>1.0740549993000887</v>
      </c>
      <c r="H512" s="4">
        <f>E512/D512</f>
        <v>11</v>
      </c>
    </row>
    <row r="513" spans="2:8" x14ac:dyDescent="0.25">
      <c r="B513" t="str">
        <v>Vincenzo Grifo</v>
      </c>
      <c r="C513" s="3">
        <f>AVERAGEIF(Sheet1!$H:$H,Planilha1!B513,Sheet1!X:X)</f>
        <v>1.291036738937229</v>
      </c>
      <c r="D513">
        <f>COUNTIF(Sheet1!H:H,Planilha1!B513)</f>
        <v>1</v>
      </c>
      <c r="E513" s="3">
        <f>SUMIF(Sheet1!$H:$H,Planilha1!$B513,Sheet1!C:C)</f>
        <v>15</v>
      </c>
      <c r="F513" s="3">
        <f>SUMIF(Sheet1!$H:$H,Planilha1!$B513,Sheet1!O:O)</f>
        <v>11.618569439277049</v>
      </c>
      <c r="G513" s="3">
        <f>E513/F513</f>
        <v>1.2910367389372297</v>
      </c>
      <c r="H513" s="4">
        <f>E513/D513</f>
        <v>15</v>
      </c>
    </row>
    <row r="514" spans="2:8" x14ac:dyDescent="0.25">
      <c r="B514" t="str">
        <v>Vinícius Júnior</v>
      </c>
      <c r="C514" s="3">
        <f>AVERAGEIF(Sheet1!$H:$H,Planilha1!B514,Sheet1!X:X)</f>
        <v>0.97083652049964697</v>
      </c>
      <c r="D514">
        <f>COUNTIF(Sheet1!H:H,Planilha1!B514)</f>
        <v>4</v>
      </c>
      <c r="E514" s="3">
        <f>SUMIF(Sheet1!$H:$H,Planilha1!$B514,Sheet1!C:C)</f>
        <v>53</v>
      </c>
      <c r="F514" s="3">
        <f>SUMIF(Sheet1!$H:$H,Planilha1!$B514,Sheet1!O:O)</f>
        <v>54.239274768158793</v>
      </c>
      <c r="G514" s="3">
        <f>E514/F514</f>
        <v>0.97715170836158916</v>
      </c>
      <c r="H514" s="4">
        <f>E514/D514</f>
        <v>13.25</v>
      </c>
    </row>
    <row r="515" spans="2:8" x14ac:dyDescent="0.25">
      <c r="B515" t="str">
        <v>Vitinho</v>
      </c>
      <c r="C515" s="3">
        <f>AVERAGEIF(Sheet1!$H:$H,Planilha1!B515,Sheet1!X:X)</f>
        <v>1.2889001789761869</v>
      </c>
      <c r="D515">
        <f>COUNTIF(Sheet1!H:H,Planilha1!B515)</f>
        <v>1</v>
      </c>
      <c r="E515" s="3">
        <f>SUMIF(Sheet1!$H:$H,Planilha1!$B515,Sheet1!C:C)</f>
        <v>10</v>
      </c>
      <c r="F515" s="3">
        <f>SUMIF(Sheet1!$H:$H,Planilha1!$B515,Sheet1!O:O)</f>
        <v>7.7585527282208204</v>
      </c>
      <c r="G515" s="3">
        <f>E515/F515</f>
        <v>1.2889001789761871</v>
      </c>
      <c r="H515" s="4">
        <f>E515/D515</f>
        <v>10</v>
      </c>
    </row>
    <row r="516" spans="2:8" x14ac:dyDescent="0.25">
      <c r="B516" t="str">
        <v>Vladimir Sychevoy</v>
      </c>
      <c r="C516" s="3">
        <f>AVERAGEIF(Sheet1!$H:$H,Planilha1!B516,Sheet1!X:X)</f>
        <v>1.4216031370375359</v>
      </c>
      <c r="D516">
        <f>COUNTIF(Sheet1!H:H,Planilha1!B516)</f>
        <v>1</v>
      </c>
      <c r="E516" s="3">
        <f>SUMIF(Sheet1!$H:$H,Planilha1!$B516,Sheet1!C:C)</f>
        <v>14</v>
      </c>
      <c r="F516" s="3">
        <f>SUMIF(Sheet1!$H:$H,Planilha1!$B516,Sheet1!O:O)</f>
        <v>9.8480367939919233</v>
      </c>
      <c r="G516" s="3">
        <f>E516/F516</f>
        <v>1.4216031370375364</v>
      </c>
      <c r="H516" s="4">
        <f>E516/D516</f>
        <v>14</v>
      </c>
    </row>
    <row r="517" spans="2:8" x14ac:dyDescent="0.25">
      <c r="B517" t="str">
        <v>Wahbi Khazri</v>
      </c>
      <c r="C517" s="3">
        <f>AVERAGEIF(Sheet1!$H:$H,Planilha1!B517,Sheet1!X:X)</f>
        <v>1.2273523409108473</v>
      </c>
      <c r="D517">
        <f>COUNTIF(Sheet1!H:H,Planilha1!B517)</f>
        <v>2</v>
      </c>
      <c r="E517" s="3">
        <f>SUMIF(Sheet1!$H:$H,Planilha1!$B517,Sheet1!C:C)</f>
        <v>23</v>
      </c>
      <c r="F517" s="3">
        <f>SUMIF(Sheet1!$H:$H,Planilha1!$B517,Sheet1!O:O)</f>
        <v>19.097945007495582</v>
      </c>
      <c r="G517" s="3">
        <f>E517/F517</f>
        <v>1.2043180557370405</v>
      </c>
      <c r="H517" s="4">
        <f>E517/D517</f>
        <v>11.5</v>
      </c>
    </row>
    <row r="518" spans="2:8" x14ac:dyDescent="0.25">
      <c r="B518" t="str">
        <v>Wayne Rooney</v>
      </c>
      <c r="C518" s="3">
        <f>AVERAGEIF(Sheet1!$H:$H,Planilha1!B518,Sheet1!X:X)</f>
        <v>1.2354526778761024</v>
      </c>
      <c r="D518">
        <f>COUNTIF(Sheet1!H:H,Planilha1!B518)</f>
        <v>2</v>
      </c>
      <c r="E518" s="3">
        <f>SUMIF(Sheet1!$H:$H,Planilha1!$B518,Sheet1!C:C)</f>
        <v>22</v>
      </c>
      <c r="F518" s="3">
        <f>SUMIF(Sheet1!$H:$H,Planilha1!$B518,Sheet1!O:O)</f>
        <v>17.807542882859707</v>
      </c>
      <c r="G518" s="3">
        <f>E518/F518</f>
        <v>1.2354315328464354</v>
      </c>
      <c r="H518" s="4">
        <f>E518/D518</f>
        <v>11</v>
      </c>
    </row>
    <row r="519" spans="2:8" x14ac:dyDescent="0.25">
      <c r="B519" t="str">
        <v>Wilfried Bony</v>
      </c>
      <c r="C519" s="3">
        <f>AVERAGEIF(Sheet1!$H:$H,Planilha1!B519,Sheet1!X:X)</f>
        <v>1.052154453142921</v>
      </c>
      <c r="D519">
        <f>COUNTIF(Sheet1!H:H,Planilha1!B519)</f>
        <v>1</v>
      </c>
      <c r="E519" s="3">
        <f>SUMIF(Sheet1!$H:$H,Planilha1!$B519,Sheet1!C:C)</f>
        <v>11</v>
      </c>
      <c r="F519" s="3">
        <f>SUMIF(Sheet1!$H:$H,Planilha1!$B519,Sheet1!O:O)</f>
        <v>10.45473881438374</v>
      </c>
      <c r="G519" s="3">
        <f>E519/F519</f>
        <v>1.0521544531429217</v>
      </c>
      <c r="H519" s="4">
        <f>E519/D519</f>
        <v>11</v>
      </c>
    </row>
    <row r="520" spans="2:8" x14ac:dyDescent="0.25">
      <c r="B520" t="str">
        <v>Wilfried Zaha</v>
      </c>
      <c r="C520" s="3">
        <f>AVERAGEIF(Sheet1!$H:$H,Planilha1!B520,Sheet1!X:X)</f>
        <v>1.3882363466300085</v>
      </c>
      <c r="D520">
        <f>COUNTIF(Sheet1!H:H,Planilha1!B520)</f>
        <v>3</v>
      </c>
      <c r="E520" s="3">
        <f>SUMIF(Sheet1!$H:$H,Planilha1!$B520,Sheet1!C:C)</f>
        <v>35</v>
      </c>
      <c r="F520" s="3">
        <f>SUMIF(Sheet1!$H:$H,Planilha1!$B520,Sheet1!O:O)</f>
        <v>25.47932787053287</v>
      </c>
      <c r="G520" s="3">
        <f>E520/F520</f>
        <v>1.3736626090705435</v>
      </c>
      <c r="H520" s="4">
        <f>E520/D520</f>
        <v>11.666666666666666</v>
      </c>
    </row>
    <row r="521" spans="2:8" x14ac:dyDescent="0.25">
      <c r="B521" t="str">
        <v>Willian José</v>
      </c>
      <c r="C521" s="3">
        <f>AVERAGEIF(Sheet1!$H:$H,Planilha1!B521,Sheet1!X:X)</f>
        <v>1.2618504759908376</v>
      </c>
      <c r="D521">
        <f>COUNTIF(Sheet1!H:H,Planilha1!B521)</f>
        <v>5</v>
      </c>
      <c r="E521" s="3">
        <f>SUMIF(Sheet1!$H:$H,Planilha1!$B521,Sheet1!C:C)</f>
        <v>60</v>
      </c>
      <c r="F521" s="3">
        <f>SUMIF(Sheet1!$H:$H,Planilha1!$B521,Sheet1!O:O)</f>
        <v>49.306026625446982</v>
      </c>
      <c r="G521" s="3">
        <f>E521/F521</f>
        <v>1.2168897821718578</v>
      </c>
      <c r="H521" s="4">
        <f>E521/D521</f>
        <v>12</v>
      </c>
    </row>
    <row r="522" spans="2:8" x14ac:dyDescent="0.25">
      <c r="B522" t="str">
        <v>Wissam Ben Yedder</v>
      </c>
      <c r="C522" s="3">
        <f>AVERAGEIF(Sheet1!$H:$H,Planilha1!B522,Sheet1!X:X)</f>
        <v>1.1228476260705149</v>
      </c>
      <c r="D522">
        <f>COUNTIF(Sheet1!H:H,Planilha1!B522)</f>
        <v>9</v>
      </c>
      <c r="E522" s="3">
        <f>SUMIF(Sheet1!$H:$H,Planilha1!$B522,Sheet1!C:C)</f>
        <v>158</v>
      </c>
      <c r="F522" s="3">
        <f>SUMIF(Sheet1!$H:$H,Planilha1!$B522,Sheet1!O:O)</f>
        <v>143.82177432253957</v>
      </c>
      <c r="G522" s="3">
        <f>E522/F522</f>
        <v>1.0985819132342496</v>
      </c>
      <c r="H522" s="4">
        <f>E522/D522</f>
        <v>17.555555555555557</v>
      </c>
    </row>
    <row r="523" spans="2:8" x14ac:dyDescent="0.25">
      <c r="B523" t="str">
        <v>Wout Weghorst</v>
      </c>
      <c r="C523" s="3">
        <f>AVERAGEIF(Sheet1!$H:$H,Planilha1!B523,Sheet1!X:X)</f>
        <v>1.0230100091711825</v>
      </c>
      <c r="D523">
        <f>COUNTIF(Sheet1!H:H,Planilha1!B523)</f>
        <v>3</v>
      </c>
      <c r="E523" s="3">
        <f>SUMIF(Sheet1!$H:$H,Planilha1!$B523,Sheet1!C:C)</f>
        <v>53</v>
      </c>
      <c r="F523" s="3">
        <f>SUMIF(Sheet1!$H:$H,Planilha1!$B523,Sheet1!O:O)</f>
        <v>51.892281927168369</v>
      </c>
      <c r="G523" s="3">
        <f>E523/F523</f>
        <v>1.0213464899151348</v>
      </c>
      <c r="H523" s="4">
        <f>E523/D523</f>
        <v>17.666666666666668</v>
      </c>
    </row>
    <row r="524" spans="2:8" x14ac:dyDescent="0.25">
      <c r="B524" t="str">
        <v>Yannick Carrasco</v>
      </c>
      <c r="C524" s="3">
        <f>AVERAGEIF(Sheet1!$H:$H,Planilha1!B524,Sheet1!X:X)</f>
        <v>1.288189327751132</v>
      </c>
      <c r="D524">
        <f>COUNTIF(Sheet1!H:H,Planilha1!B524)</f>
        <v>1</v>
      </c>
      <c r="E524" s="3">
        <f>SUMIF(Sheet1!$H:$H,Planilha1!$B524,Sheet1!C:C)</f>
        <v>10</v>
      </c>
      <c r="F524" s="3">
        <f>SUMIF(Sheet1!$H:$H,Planilha1!$B524,Sheet1!O:O)</f>
        <v>7.7628340683877468</v>
      </c>
      <c r="G524" s="3">
        <f>E524/F524</f>
        <v>1.2881893277511325</v>
      </c>
      <c r="H524" s="4">
        <f>E524/D524</f>
        <v>10</v>
      </c>
    </row>
    <row r="525" spans="2:8" x14ac:dyDescent="0.25">
      <c r="B525" t="str">
        <v>Yoane Wissa</v>
      </c>
      <c r="C525" s="3">
        <f>AVERAGEIF(Sheet1!$H:$H,Planilha1!B525,Sheet1!X:X)</f>
        <v>0.89677179497548742</v>
      </c>
      <c r="D525">
        <f>COUNTIF(Sheet1!H:H,Planilha1!B525)</f>
        <v>3</v>
      </c>
      <c r="E525" s="3">
        <f>SUMIF(Sheet1!$H:$H,Planilha1!$B525,Sheet1!C:C)</f>
        <v>40</v>
      </c>
      <c r="F525" s="3">
        <f>SUMIF(Sheet1!$H:$H,Planilha1!$B525,Sheet1!O:O)</f>
        <v>45.2745710182935</v>
      </c>
      <c r="G525" s="3">
        <f>E525/F525</f>
        <v>0.88349815581549573</v>
      </c>
      <c r="H525" s="4">
        <f>E525/D525</f>
        <v>13.333333333333334</v>
      </c>
    </row>
    <row r="526" spans="2:8" x14ac:dyDescent="0.25">
      <c r="B526" t="str">
        <v>Youssef El-Arabi</v>
      </c>
      <c r="C526" s="3">
        <f>AVERAGEIF(Sheet1!$H:$H,Planilha1!B526,Sheet1!X:X)</f>
        <v>1.221624055753473</v>
      </c>
      <c r="D526">
        <f>COUNTIF(Sheet1!H:H,Planilha1!B526)</f>
        <v>1</v>
      </c>
      <c r="E526" s="3">
        <f>SUMIF(Sheet1!$H:$H,Planilha1!$B526,Sheet1!C:C)</f>
        <v>16</v>
      </c>
      <c r="F526" s="3">
        <f>SUMIF(Sheet1!$H:$H,Planilha1!$B526,Sheet1!O:O)</f>
        <v>13.097319035790861</v>
      </c>
      <c r="G526" s="3">
        <f>E526/F526</f>
        <v>1.2216240557534732</v>
      </c>
      <c r="H526" s="4">
        <f>E526/D526</f>
        <v>16</v>
      </c>
    </row>
    <row r="527" spans="2:8" x14ac:dyDescent="0.25">
      <c r="B527" t="str">
        <v>Youssef En-Nesyri</v>
      </c>
      <c r="C527" s="3">
        <f>AVERAGEIF(Sheet1!$H:$H,Planilha1!B527,Sheet1!X:X)</f>
        <v>1.167350570495534</v>
      </c>
      <c r="D527">
        <f>COUNTIF(Sheet1!H:H,Planilha1!B527)</f>
        <v>2</v>
      </c>
      <c r="E527" s="3">
        <f>SUMIF(Sheet1!$H:$H,Planilha1!$B527,Sheet1!C:C)</f>
        <v>34</v>
      </c>
      <c r="F527" s="3">
        <f>SUMIF(Sheet1!$H:$H,Planilha1!$B527,Sheet1!O:O)</f>
        <v>29.18296313285828</v>
      </c>
      <c r="G527" s="3">
        <f>E527/F527</f>
        <v>1.1650633229124709</v>
      </c>
      <c r="H527" s="4">
        <f>E527/D527</f>
        <v>17</v>
      </c>
    </row>
    <row r="528" spans="2:8" x14ac:dyDescent="0.25">
      <c r="B528" t="str">
        <v>Yunus Malli</v>
      </c>
      <c r="C528" s="3">
        <f>AVERAGEIF(Sheet1!$H:$H,Planilha1!B528,Sheet1!X:X)</f>
        <v>1.096037193787138</v>
      </c>
      <c r="D528">
        <f>COUNTIF(Sheet1!H:H,Planilha1!B528)</f>
        <v>1</v>
      </c>
      <c r="E528" s="3">
        <f>SUMIF(Sheet1!$H:$H,Planilha1!$B528,Sheet1!C:C)</f>
        <v>11</v>
      </c>
      <c r="F528" s="3">
        <f>SUMIF(Sheet1!$H:$H,Planilha1!$B528,Sheet1!O:O)</f>
        <v>10.036155764013531</v>
      </c>
      <c r="G528" s="3">
        <f>E528/F528</f>
        <v>1.096037193787138</v>
      </c>
      <c r="H528" s="4">
        <f>E528/D528</f>
        <v>11</v>
      </c>
    </row>
    <row r="529" spans="2:8" x14ac:dyDescent="0.25">
      <c r="B529" t="str">
        <v>Yussuf Poulsen</v>
      </c>
      <c r="C529" s="3">
        <f>AVERAGEIF(Sheet1!$H:$H,Planilha1!B529,Sheet1!X:X)</f>
        <v>1.240798152728493</v>
      </c>
      <c r="D529">
        <f>COUNTIF(Sheet1!H:H,Planilha1!B529)</f>
        <v>1</v>
      </c>
      <c r="E529" s="3">
        <f>SUMIF(Sheet1!$H:$H,Planilha1!$B529,Sheet1!C:C)</f>
        <v>15</v>
      </c>
      <c r="F529" s="3">
        <f>SUMIF(Sheet1!$H:$H,Planilha1!$B529,Sheet1!O:O)</f>
        <v>12.08899285271764</v>
      </c>
      <c r="G529" s="3">
        <f>E529/F529</f>
        <v>1.2407981527284928</v>
      </c>
      <c r="H529" s="4">
        <f>E529/D529</f>
        <v>15</v>
      </c>
    </row>
    <row r="530" spans="2:8" x14ac:dyDescent="0.25">
      <c r="B530" t="str">
        <v>Zé Luís</v>
      </c>
      <c r="C530" s="3">
        <f>AVERAGEIF(Sheet1!$H:$H,Planilha1!B530,Sheet1!X:X)</f>
        <v>1.1735207992003269</v>
      </c>
      <c r="D530">
        <f>COUNTIF(Sheet1!H:H,Planilha1!B530)</f>
        <v>1</v>
      </c>
      <c r="E530" s="3">
        <f>SUMIF(Sheet1!$H:$H,Planilha1!$B530,Sheet1!C:C)</f>
        <v>10</v>
      </c>
      <c r="F530" s="3">
        <f>SUMIF(Sheet1!$H:$H,Planilha1!$B530,Sheet1!O:O)</f>
        <v>8.5213657966814935</v>
      </c>
      <c r="G530" s="3">
        <f>E530/F530</f>
        <v>1.1735207992003274</v>
      </c>
      <c r="H530" s="4">
        <f>E530/D530</f>
        <v>10</v>
      </c>
    </row>
    <row r="531" spans="2:8" x14ac:dyDescent="0.25">
      <c r="B531" t="str">
        <v>Zlatan Ibrahimovic</v>
      </c>
      <c r="C531" s="3">
        <f>AVERAGEIF(Sheet1!$H:$H,Planilha1!B531,Sheet1!X:X)</f>
        <v>1.0604977157437028</v>
      </c>
      <c r="D531">
        <f>COUNTIF(Sheet1!H:H,Planilha1!B531)</f>
        <v>5</v>
      </c>
      <c r="E531" s="3">
        <f>SUMIF(Sheet1!$H:$H,Planilha1!$B531,Sheet1!C:C)</f>
        <v>99</v>
      </c>
      <c r="F531" s="3">
        <f>SUMIF(Sheet1!$H:$H,Planilha1!$B531,Sheet1!O:O)</f>
        <v>89.622476555407047</v>
      </c>
      <c r="G531" s="3">
        <f>E531/F531</f>
        <v>1.104633612069351</v>
      </c>
      <c r="H531" s="4">
        <f>E531/D531</f>
        <v>19.8</v>
      </c>
    </row>
  </sheetData>
  <autoFilter ref="B1:G531" xr:uid="{0C26B743-787C-48C9-8543-DC9A382CE24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Luciano Blank</cp:lastModifiedBy>
  <dcterms:created xsi:type="dcterms:W3CDTF">2026-09-22T00:30:03Z</dcterms:created>
  <dcterms:modified xsi:type="dcterms:W3CDTF">2026-09-22T00:41:40Z</dcterms:modified>
</cp:coreProperties>
</file>